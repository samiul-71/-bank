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580"/>
  </bookViews>
  <sheets>
    <sheet name="Values Only" sheetId="5" r:id="rId1"/>
    <sheet name="April" sheetId="2" r:id="rId2"/>
    <sheet name="May" sheetId="3" r:id="rId3"/>
    <sheet name="June" sheetId="4" r:id="rId4"/>
    <sheet name="Raw Calculations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<sst xmlns="http://schemas.openxmlformats.org/spreadsheetml/2006/main" count="3714" uniqueCount="593">
  <si>
    <t>Date</t>
  </si>
  <si>
    <t>Reference</t>
  </si>
  <si>
    <t>Out</t>
  </si>
  <si>
    <t>In</t>
  </si>
  <si>
    <t>Total</t>
  </si>
  <si>
    <t>01-04-2026</t>
  </si>
  <si>
    <t>RGI8260401791882</t>
  </si>
  <si>
    <t>EB26040196964896</t>
  </si>
  <si>
    <t>EB26040192058794</t>
  </si>
  <si>
    <t>BICB260401330670</t>
  </si>
  <si>
    <t>BICB260401270233</t>
  </si>
  <si>
    <t>BICB260401559383</t>
  </si>
  <si>
    <t>BICB260401424335</t>
  </si>
  <si>
    <t>BICB260401320295</t>
  </si>
  <si>
    <t>BICB260401235338</t>
  </si>
  <si>
    <t>BICB260401290842</t>
  </si>
  <si>
    <t>BICB260401706372</t>
  </si>
  <si>
    <t>BICB260401128801</t>
  </si>
  <si>
    <t>BICB260401371721</t>
  </si>
  <si>
    <t>BICB260401841372</t>
  </si>
  <si>
    <t>BICB260401337873</t>
  </si>
  <si>
    <t>05626091175437501</t>
  </si>
  <si>
    <t>146EI01042644761</t>
  </si>
  <si>
    <t>EB26040117825930</t>
  </si>
  <si>
    <t>EB26040179288216</t>
  </si>
  <si>
    <t>EB26040180305243</t>
  </si>
  <si>
    <t>02-04-2026</t>
  </si>
  <si>
    <t>EB26040263054293</t>
  </si>
  <si>
    <t>BICB260402216971</t>
  </si>
  <si>
    <t>146EI02042661561</t>
  </si>
  <si>
    <t>146EI02042665273</t>
  </si>
  <si>
    <t>05-04-2026</t>
  </si>
  <si>
    <t>RGI8260405795775</t>
  </si>
  <si>
    <t>RGI8260405795861</t>
  </si>
  <si>
    <t>EB26040589890879</t>
  </si>
  <si>
    <t>EB26040586911731</t>
  </si>
  <si>
    <t>EB26040562675577</t>
  </si>
  <si>
    <t>146EI05042679518</t>
  </si>
  <si>
    <t>146EI05042685215</t>
  </si>
  <si>
    <t>06-04-2026</t>
  </si>
  <si>
    <t>RGI8260406797976</t>
  </si>
  <si>
    <t>EB26040621830983</t>
  </si>
  <si>
    <t>BICB260406639979</t>
  </si>
  <si>
    <t>146EI06042612487</t>
  </si>
  <si>
    <t>BICB260406421262</t>
  </si>
  <si>
    <t>07-04-2026</t>
  </si>
  <si>
    <t>RGI8260407800012</t>
  </si>
  <si>
    <t>05626097178786192</t>
  </si>
  <si>
    <t>EB26040770763619</t>
  </si>
  <si>
    <t>146EI07042630505</t>
  </si>
  <si>
    <t>08-04-2026</t>
  </si>
  <si>
    <t>RGI8260408801840</t>
  </si>
  <si>
    <t>146EI08042641089</t>
  </si>
  <si>
    <t>146EI08042644625</t>
  </si>
  <si>
    <t>09-04-2026</t>
  </si>
  <si>
    <t>RGI8260409803799</t>
  </si>
  <si>
    <t>EB26040939075357</t>
  </si>
  <si>
    <t>146EI09042657752</t>
  </si>
  <si>
    <t>12-04-2026</t>
  </si>
  <si>
    <t>RGI8260412806127</t>
  </si>
  <si>
    <t>RGI8260412806306</t>
  </si>
  <si>
    <t>146EI12042667652</t>
  </si>
  <si>
    <t>146EI12042667509</t>
  </si>
  <si>
    <t>146EI12042678602</t>
  </si>
  <si>
    <t>146EI12042677659</t>
  </si>
  <si>
    <t>13-04-2026</t>
  </si>
  <si>
    <t>RGI8260413808436</t>
  </si>
  <si>
    <t>146EI13042692224</t>
  </si>
  <si>
    <t>15-04-2026</t>
  </si>
  <si>
    <t>RGI8260415810732</t>
  </si>
  <si>
    <t>BICB260415908458</t>
  </si>
  <si>
    <t>EB26041545454997</t>
  </si>
  <si>
    <t>EB26041594644987</t>
  </si>
  <si>
    <t>146EI15042603057</t>
  </si>
  <si>
    <t>146EI15042602957</t>
  </si>
  <si>
    <t>16-04-2026</t>
  </si>
  <si>
    <t>RGI8260416812967</t>
  </si>
  <si>
    <t>146EI16042620179</t>
  </si>
  <si>
    <t>19-04-2026</t>
  </si>
  <si>
    <t>RGI8260419815432</t>
  </si>
  <si>
    <t>RGI8260419815516</t>
  </si>
  <si>
    <t>146EI19042632889</t>
  </si>
  <si>
    <t>146EI19042632649</t>
  </si>
  <si>
    <t>146EI19042637941</t>
  </si>
  <si>
    <t>20-04-2026</t>
  </si>
  <si>
    <t>RGI8260420817797</t>
  </si>
  <si>
    <t>BICB260420415262</t>
  </si>
  <si>
    <t>146EI20042652941</t>
  </si>
  <si>
    <t>21-04-2026</t>
  </si>
  <si>
    <t>RGI8260421819875</t>
  </si>
  <si>
    <t>146EI21042662346</t>
  </si>
  <si>
    <t>146EI21042664370</t>
  </si>
  <si>
    <t>22-04-2026</t>
  </si>
  <si>
    <t>RGI8260422821837</t>
  </si>
  <si>
    <t>146EI22042674383</t>
  </si>
  <si>
    <t>BICB260422301312</t>
  </si>
  <si>
    <t>BICB260422617898</t>
  </si>
  <si>
    <t>BICB260422413930</t>
  </si>
  <si>
    <t>23-04-2026</t>
  </si>
  <si>
    <t>RGI8260423823640</t>
  </si>
  <si>
    <t>146EI23042683976</t>
  </si>
  <si>
    <t>25-04-2026</t>
  </si>
  <si>
    <t>EB26042529945928</t>
  </si>
  <si>
    <t>26-04-2026</t>
  </si>
  <si>
    <t>RGI8260426825765</t>
  </si>
  <si>
    <t>RGI8260426825839</t>
  </si>
  <si>
    <t>146EI26042692290</t>
  </si>
  <si>
    <t>146EI26042692145</t>
  </si>
  <si>
    <t>146EI26042698233</t>
  </si>
  <si>
    <t>146EI26042698475</t>
  </si>
  <si>
    <t>27-04-2026</t>
  </si>
  <si>
    <t>BICB260427618687</t>
  </si>
  <si>
    <t>BICB260427293639</t>
  </si>
  <si>
    <t>BICB260427712634</t>
  </si>
  <si>
    <t>RGI8260427828101</t>
  </si>
  <si>
    <t>146EI27042611990</t>
  </si>
  <si>
    <t>28-04-2026</t>
  </si>
  <si>
    <t>RGI8260428829931</t>
  </si>
  <si>
    <t>BICB260428403335</t>
  </si>
  <si>
    <t>146EI28042619740</t>
  </si>
  <si>
    <t>146EI28042621014</t>
  </si>
  <si>
    <t>29-04-2026</t>
  </si>
  <si>
    <t>RGI8260429831467</t>
  </si>
  <si>
    <t>30-04-2026</t>
  </si>
  <si>
    <t>RGI8260430833147</t>
  </si>
  <si>
    <t>146EI29042635020</t>
  </si>
  <si>
    <t>146EI30042657257</t>
  </si>
  <si>
    <t>03-05-2026</t>
  </si>
  <si>
    <t>RGI8260503835467</t>
  </si>
  <si>
    <t>RGI8260503835562</t>
  </si>
  <si>
    <t>146EI03052667987</t>
  </si>
  <si>
    <t>146EI03052668003</t>
  </si>
  <si>
    <t>05626123194279582</t>
  </si>
  <si>
    <t>146CHBK261230003</t>
  </si>
  <si>
    <t>EB26050350012878</t>
  </si>
  <si>
    <t>EB26050363156326</t>
  </si>
  <si>
    <t>EB26050338801131</t>
  </si>
  <si>
    <t>BICB260503501469</t>
  </si>
  <si>
    <t>BICB260503627473</t>
  </si>
  <si>
    <t>BICB260503684396</t>
  </si>
  <si>
    <t>BICB260503183480</t>
  </si>
  <si>
    <t>04-05-2026</t>
  </si>
  <si>
    <t>BICB260504788827</t>
  </si>
  <si>
    <t>BICB260504229693</t>
  </si>
  <si>
    <t>BICB260504765587</t>
  </si>
  <si>
    <t>BICB260504917894</t>
  </si>
  <si>
    <t>BICB260504498342</t>
  </si>
  <si>
    <t>BICB260504217863</t>
  </si>
  <si>
    <t>BICB260504759864</t>
  </si>
  <si>
    <t>BICB260504210488</t>
  </si>
  <si>
    <t>BICB260504648590</t>
  </si>
  <si>
    <t>BICB260504774382</t>
  </si>
  <si>
    <t>BICB260504356141</t>
  </si>
  <si>
    <t>BICB260504869295</t>
  </si>
  <si>
    <t>RGI8260504837772</t>
  </si>
  <si>
    <t>146EI04052624400</t>
  </si>
  <si>
    <t>05-05-2026</t>
  </si>
  <si>
    <t>RGI8260505839916</t>
  </si>
  <si>
    <t>146EI05052631555</t>
  </si>
  <si>
    <t>146EI05052632949</t>
  </si>
  <si>
    <t>06-05-2026</t>
  </si>
  <si>
    <t>RGI8260506841775</t>
  </si>
  <si>
    <t>05626126196705342</t>
  </si>
  <si>
    <t>146EI06052643104</t>
  </si>
  <si>
    <t>07-05-2026</t>
  </si>
  <si>
    <t>RGI8260507843769</t>
  </si>
  <si>
    <t>146EI07052665779</t>
  </si>
  <si>
    <t>10-05-2026</t>
  </si>
  <si>
    <t>RGI8260510846112</t>
  </si>
  <si>
    <t>RGI8260510846167</t>
  </si>
  <si>
    <t>BICB260510796294</t>
  </si>
  <si>
    <t>EB26051084428347</t>
  </si>
  <si>
    <t>EB26051094871923</t>
  </si>
  <si>
    <t>146EI10052685487</t>
  </si>
  <si>
    <t>146EI10052689396</t>
  </si>
  <si>
    <t>146EI10052688575</t>
  </si>
  <si>
    <t>11-05-2026</t>
  </si>
  <si>
    <t>RGI8260511848829</t>
  </si>
  <si>
    <t>BICB260511976982</t>
  </si>
  <si>
    <t>12-05-2026</t>
  </si>
  <si>
    <t>RGI8260512850971</t>
  </si>
  <si>
    <t>05626132200481171</t>
  </si>
  <si>
    <t>EB26051266517923</t>
  </si>
  <si>
    <t>146EI12052644050</t>
  </si>
  <si>
    <t>13-05-2026</t>
  </si>
  <si>
    <t>RGI8260513853134</t>
  </si>
  <si>
    <t>14-05-2026</t>
  </si>
  <si>
    <t>BICB260514587349</t>
  </si>
  <si>
    <t>BICB260514877499</t>
  </si>
  <si>
    <t>BICB260514813322</t>
  </si>
  <si>
    <t>BICB260514560439</t>
  </si>
  <si>
    <t>BICB260514950572</t>
  </si>
  <si>
    <t>BICB260514201420</t>
  </si>
  <si>
    <t>BICB260514760829</t>
  </si>
  <si>
    <t>BICB260514395967</t>
  </si>
  <si>
    <t>BICB260514325611</t>
  </si>
  <si>
    <t>BICB260514815864</t>
  </si>
  <si>
    <t>BICB260514309879</t>
  </si>
  <si>
    <t>BICB260514213566</t>
  </si>
  <si>
    <t>EB26051437372872</t>
  </si>
  <si>
    <t>EB26051449488462</t>
  </si>
  <si>
    <t>EB26051479118898</t>
  </si>
  <si>
    <t>BICB260514600196</t>
  </si>
  <si>
    <t>BICB260514145779</t>
  </si>
  <si>
    <t>BICB260514670435</t>
  </si>
  <si>
    <t>BICB260514899162</t>
  </si>
  <si>
    <t>BICB260514598173</t>
  </si>
  <si>
    <t>BICB260514233357</t>
  </si>
  <si>
    <t>RGI8260514855243</t>
  </si>
  <si>
    <t>EB26051480723521</t>
  </si>
  <si>
    <t>146EI14052667406</t>
  </si>
  <si>
    <t>16-05-2026</t>
  </si>
  <si>
    <t>EB26051668346352</t>
  </si>
  <si>
    <t>17-05-2026</t>
  </si>
  <si>
    <t>RGI8260517857916</t>
  </si>
  <si>
    <t>RGI8260517858066</t>
  </si>
  <si>
    <t>05626137203286652</t>
  </si>
  <si>
    <t>146EI17052681721</t>
  </si>
  <si>
    <t>146EI17052680719</t>
  </si>
  <si>
    <t>146EI17052689608</t>
  </si>
  <si>
    <t>EB26051788298489</t>
  </si>
  <si>
    <t>BICB260517682684</t>
  </si>
  <si>
    <t>18-05-2026</t>
  </si>
  <si>
    <t>RGI8260518860784</t>
  </si>
  <si>
    <t>146EI18052605983</t>
  </si>
  <si>
    <t>19-05-2026</t>
  </si>
  <si>
    <t>RGI8260519863376</t>
  </si>
  <si>
    <t>20-05-2026</t>
  </si>
  <si>
    <t>RGI8260520865695</t>
  </si>
  <si>
    <t>146EI20052633196</t>
  </si>
  <si>
    <t>21-05-2026</t>
  </si>
  <si>
    <t>RGI8260521868384</t>
  </si>
  <si>
    <t>BICB260521486689</t>
  </si>
  <si>
    <t>BICB260521431995</t>
  </si>
  <si>
    <t>EB26052152472426</t>
  </si>
  <si>
    <t>EB26052198940840</t>
  </si>
  <si>
    <t>146EI21052650535</t>
  </si>
  <si>
    <t>146EI21052647731</t>
  </si>
  <si>
    <t>EB26052161041645</t>
  </si>
  <si>
    <t>23-05-2026</t>
  </si>
  <si>
    <t>RGI8260523871831</t>
  </si>
  <si>
    <t>RGI8260523871871</t>
  </si>
  <si>
    <t>14626143207970551</t>
  </si>
  <si>
    <t>05626143208236091</t>
  </si>
  <si>
    <t>05626143208204362</t>
  </si>
  <si>
    <t>146EI23052661348</t>
  </si>
  <si>
    <t>BICB260523654728</t>
  </si>
  <si>
    <t>24-05-2026</t>
  </si>
  <si>
    <t>EB26052480607898</t>
  </si>
  <si>
    <t>EB26052497867103</t>
  </si>
  <si>
    <t>BICB260524297759</t>
  </si>
  <si>
    <t>BICB260524402654</t>
  </si>
  <si>
    <t>BICB260524136560</t>
  </si>
  <si>
    <t>BICB260524725961</t>
  </si>
  <si>
    <t>BICB260524559493</t>
  </si>
  <si>
    <t>BICB260524952777</t>
  </si>
  <si>
    <t>BICB260524934854</t>
  </si>
  <si>
    <t>BICB260524582282</t>
  </si>
  <si>
    <t>BICB260524786261</t>
  </si>
  <si>
    <t>BICB260524531126</t>
  </si>
  <si>
    <t>BICB260524484125</t>
  </si>
  <si>
    <t>BICB260524507162</t>
  </si>
  <si>
    <t>BICB260524926148</t>
  </si>
  <si>
    <t>BICB260524924607</t>
  </si>
  <si>
    <t>BICB260524994952</t>
  </si>
  <si>
    <t>BICB260524898620</t>
  </si>
  <si>
    <t>RGI8260524874436</t>
  </si>
  <si>
    <t>146EI23052679663</t>
  </si>
  <si>
    <t>EB26052456421948</t>
  </si>
  <si>
    <t>05626144209135051</t>
  </si>
  <si>
    <t>EB26052466503984</t>
  </si>
  <si>
    <t>05626144209135052</t>
  </si>
  <si>
    <t>05626144209888582</t>
  </si>
  <si>
    <t>146EI24052601121</t>
  </si>
  <si>
    <t>01-06-2026</t>
  </si>
  <si>
    <t>RGI8260601878583</t>
  </si>
  <si>
    <t>RGI8260601878635</t>
  </si>
  <si>
    <t>146EI01062642006</t>
  </si>
  <si>
    <t>146EI01062638571</t>
  </si>
  <si>
    <t>146EI01062638776</t>
  </si>
  <si>
    <t>146EI01062638572</t>
  </si>
  <si>
    <t>146EI01062646286</t>
  </si>
  <si>
    <t>02-06-2026</t>
  </si>
  <si>
    <t>146EI02062655605</t>
  </si>
  <si>
    <t>03-06-2026</t>
  </si>
  <si>
    <t>RGI8260603881718</t>
  </si>
  <si>
    <t>04-06-2026</t>
  </si>
  <si>
    <t>RGI8260604883398</t>
  </si>
  <si>
    <t>07-06-2026</t>
  </si>
  <si>
    <t>RGI8260607885037</t>
  </si>
  <si>
    <t>RGI8260607885236</t>
  </si>
  <si>
    <t>146EI07062694052</t>
  </si>
  <si>
    <t>146EI07062692684</t>
  </si>
  <si>
    <t>08-06-2026</t>
  </si>
  <si>
    <t>RGI8260608887478</t>
  </si>
  <si>
    <t>146EI08062612304</t>
  </si>
  <si>
    <t>09-06-2026</t>
  </si>
  <si>
    <t>RGI8260609889411</t>
  </si>
  <si>
    <t>146EI09062625569</t>
  </si>
  <si>
    <t>10-06-2026</t>
  </si>
  <si>
    <t>RGI8260610891539</t>
  </si>
  <si>
    <t>11-06-2026</t>
  </si>
  <si>
    <t>EB26061172151436</t>
  </si>
  <si>
    <t>EB26061184179332</t>
  </si>
  <si>
    <t>EB26061179148321</t>
  </si>
  <si>
    <t>BICB260611561454</t>
  </si>
  <si>
    <t>BICB260611498212</t>
  </si>
  <si>
    <t>BICB260611278315</t>
  </si>
  <si>
    <t>BICB260611971711</t>
  </si>
  <si>
    <t>BICB260611438709</t>
  </si>
  <si>
    <t>BICB260611783697</t>
  </si>
  <si>
    <t>BICB260611683759</t>
  </si>
  <si>
    <t>BICB260611650344</t>
  </si>
  <si>
    <t>BICB260611675502</t>
  </si>
  <si>
    <t>BICB260611257555</t>
  </si>
  <si>
    <t>BICB260611551101</t>
  </si>
  <si>
    <t>BICB260611324989</t>
  </si>
  <si>
    <t>BICB260611310934</t>
  </si>
  <si>
    <t>BICB260611165939</t>
  </si>
  <si>
    <t>RGI8260611893353</t>
  </si>
  <si>
    <t>05626162216630242</t>
  </si>
  <si>
    <t>EB26061194193991</t>
  </si>
  <si>
    <t>146EI11062649080</t>
  </si>
  <si>
    <t>14-06-2026</t>
  </si>
  <si>
    <t>RGI8260614895654</t>
  </si>
  <si>
    <t>RGI8260614895728</t>
  </si>
  <si>
    <t>146EI14062661189</t>
  </si>
  <si>
    <t>146EI14062660182</t>
  </si>
  <si>
    <t>15-06-2026</t>
  </si>
  <si>
    <t>RGI8260615898175</t>
  </si>
  <si>
    <t>05626166218381462</t>
  </si>
  <si>
    <t>16-06-2026</t>
  </si>
  <si>
    <t>RGI8260616900552</t>
  </si>
  <si>
    <t>146EI15062685183</t>
  </si>
  <si>
    <t>BICB260616783530</t>
  </si>
  <si>
    <t>146EI16062693628</t>
  </si>
  <si>
    <t>BICB260616389312</t>
  </si>
  <si>
    <t>BICB260616219881</t>
  </si>
  <si>
    <t>17-06-2026</t>
  </si>
  <si>
    <t>RGI8260617903047</t>
  </si>
  <si>
    <t>18-06-2026</t>
  </si>
  <si>
    <t>RGI8260618905181</t>
  </si>
  <si>
    <t>146EI18062615591</t>
  </si>
  <si>
    <t>21-06-2026</t>
  </si>
  <si>
    <t>RGI8260621908033</t>
  </si>
  <si>
    <t>146EI21062640610</t>
  </si>
  <si>
    <t>146EI21062640611</t>
  </si>
  <si>
    <t>EB26062175011618</t>
  </si>
  <si>
    <t>BICB260621406142</t>
  </si>
  <si>
    <t>BICB260621181114</t>
  </si>
  <si>
    <t>BICB260621883254</t>
  </si>
  <si>
    <t>22-06-2026</t>
  </si>
  <si>
    <t>RGI8260622910631</t>
  </si>
  <si>
    <t>05626173223226741</t>
  </si>
  <si>
    <t>146EI22062654445</t>
  </si>
  <si>
    <t>23-06-2026</t>
  </si>
  <si>
    <t>RGI8260623912974</t>
  </si>
  <si>
    <t>146AMC2BDT000001</t>
  </si>
  <si>
    <t>146AMC2BDT000002</t>
  </si>
  <si>
    <t>24-06-2026</t>
  </si>
  <si>
    <t>RGI8260624915011</t>
  </si>
  <si>
    <t>146EI24062602238</t>
  </si>
  <si>
    <t>146EI24062606527</t>
  </si>
  <si>
    <t>25-06-2026</t>
  </si>
  <si>
    <t>RGI8260625917145</t>
  </si>
  <si>
    <t>EB26062581355269</t>
  </si>
  <si>
    <t>28-06-2026</t>
  </si>
  <si>
    <t>RGI8260628920697</t>
  </si>
  <si>
    <t>RGI8260628920787</t>
  </si>
  <si>
    <t>BICB260628880614</t>
  </si>
  <si>
    <t>EB26062815355716</t>
  </si>
  <si>
    <t>29-06-2026</t>
  </si>
  <si>
    <t>RGI8260629922464</t>
  </si>
  <si>
    <t>146EI28062673994</t>
  </si>
  <si>
    <t>05626180227776641</t>
  </si>
  <si>
    <t>30-06-2026</t>
  </si>
  <si>
    <t>RGI8260630925134</t>
  </si>
  <si>
    <t>Out - old</t>
  </si>
  <si>
    <t>Multiple</t>
  </si>
  <si>
    <t>Out - New</t>
  </si>
  <si>
    <t>In - New</t>
  </si>
  <si>
    <t>0.00</t>
  </si>
  <si>
    <t>202,777.11</t>
  </si>
  <si>
    <t/>
  </si>
  <si>
    <t>12,000.00</t>
  </si>
  <si>
    <t>17,000.00</t>
  </si>
  <si>
    <t>44,400.00</t>
  </si>
  <si>
    <t>84,000.00</t>
  </si>
  <si>
    <t>35,500.00</t>
  </si>
  <si>
    <t>39,500.00</t>
  </si>
  <si>
    <t>20,000.00</t>
  </si>
  <si>
    <t>74,000.00</t>
  </si>
  <si>
    <t>33,500.00</t>
  </si>
  <si>
    <t>49,300.00</t>
  </si>
  <si>
    <t>119,000.00</t>
  </si>
  <si>
    <t>25,000.00</t>
  </si>
  <si>
    <t>18,000.00</t>
  </si>
  <si>
    <t>17,500.00</t>
  </si>
  <si>
    <t>30,000.00</t>
  </si>
  <si>
    <t>44.99</t>
  </si>
  <si>
    <t>792,000.00</t>
  </si>
  <si>
    <t>19,300.00</t>
  </si>
  <si>
    <t>8.70</t>
  </si>
  <si>
    <t>1.30</t>
  </si>
  <si>
    <t>32,500.00</t>
  </si>
  <si>
    <t>19,500.00</t>
  </si>
  <si>
    <t>3,098.52</t>
  </si>
  <si>
    <t>75,746.33</t>
  </si>
  <si>
    <t>494.01</t>
  </si>
  <si>
    <t>201,504.84</t>
  </si>
  <si>
    <t>218,362.71</t>
  </si>
  <si>
    <t>200,000.00</t>
  </si>
  <si>
    <t>240,000.00</t>
  </si>
  <si>
    <t>925.87</t>
  </si>
  <si>
    <t>4,650.03</t>
  </si>
  <si>
    <t>219,889.59</t>
  </si>
  <si>
    <t>22,000.00</t>
  </si>
  <si>
    <t>3,150.00</t>
  </si>
  <si>
    <t>6,134.04</t>
  </si>
  <si>
    <t>60,000.00</t>
  </si>
  <si>
    <t>209,872.13</t>
  </si>
  <si>
    <t>70,000.00</t>
  </si>
  <si>
    <t>104,000.00</t>
  </si>
  <si>
    <t>1,482.03</t>
  </si>
  <si>
    <t>231,798.30</t>
  </si>
  <si>
    <t>809.99</t>
  </si>
  <si>
    <t>1,088.01</t>
  </si>
  <si>
    <t>212,059.84</t>
  </si>
  <si>
    <t>790,000.00</t>
  </si>
  <si>
    <t>3,464.01</t>
  </si>
  <si>
    <t>164,888.31</t>
  </si>
  <si>
    <t>239,412.27</t>
  </si>
  <si>
    <t>1,703.97</t>
  </si>
  <si>
    <t>62.99</t>
  </si>
  <si>
    <t>3,958.02</t>
  </si>
  <si>
    <t>219,693.61</t>
  </si>
  <si>
    <t>217,358.17</t>
  </si>
  <si>
    <t>12,952.00</t>
  </si>
  <si>
    <t>5,625.00</t>
  </si>
  <si>
    <t>89.99</t>
  </si>
  <si>
    <t>886.46</t>
  </si>
  <si>
    <t>236,545.99</t>
  </si>
  <si>
    <t>194,455.74</t>
  </si>
  <si>
    <t>167,340.95</t>
  </si>
  <si>
    <t>4,617.58</t>
  </si>
  <si>
    <t>2,176.02</t>
  </si>
  <si>
    <t>320,714.96</t>
  </si>
  <si>
    <t>45,000.00</t>
  </si>
  <si>
    <t>1,582.02</t>
  </si>
  <si>
    <t>223,160.91</t>
  </si>
  <si>
    <t>18,408.06</t>
  </si>
  <si>
    <t>261,487.01</t>
  </si>
  <si>
    <t>5,542.02</t>
  </si>
  <si>
    <t>40,000.00</t>
  </si>
  <si>
    <t>29,500.00</t>
  </si>
  <si>
    <t>54,500.00</t>
  </si>
  <si>
    <t>232,029.85</t>
  </si>
  <si>
    <t>480,000.00</t>
  </si>
  <si>
    <t>179,527.57</t>
  </si>
  <si>
    <t>165,715.85</t>
  </si>
  <si>
    <t>10,161.25</t>
  </si>
  <si>
    <t>15,438.06</t>
  </si>
  <si>
    <t>4.48</t>
  </si>
  <si>
    <t>520,000.00</t>
  </si>
  <si>
    <t>50,000.00</t>
  </si>
  <si>
    <t>112,937.49</t>
  </si>
  <si>
    <t>3,660.03</t>
  </si>
  <si>
    <t>229,995.59</t>
  </si>
  <si>
    <t>71,353.00</t>
  </si>
  <si>
    <t>7,620.03</t>
  </si>
  <si>
    <t>215,031.47</t>
  </si>
  <si>
    <t>264,234.16</t>
  </si>
  <si>
    <t>320,025.43</t>
  </si>
  <si>
    <t>172,862.03</t>
  </si>
  <si>
    <t>2,206.34</t>
  </si>
  <si>
    <t>750.00</t>
  </si>
  <si>
    <t>112.50</t>
  </si>
  <si>
    <t>44,000.00</t>
  </si>
  <si>
    <t>11,333.00</t>
  </si>
  <si>
    <t>10,000.00</t>
  </si>
  <si>
    <t>34,000.00</t>
  </si>
  <si>
    <t>128,502.53</t>
  </si>
  <si>
    <t>242,742.59</t>
  </si>
  <si>
    <t>6,530.04</t>
  </si>
  <si>
    <t>228,327.21</t>
  </si>
  <si>
    <t>83,000.00</t>
  </si>
  <si>
    <t>233,255.07</t>
  </si>
  <si>
    <t>359.99</t>
  </si>
  <si>
    <t>115,530.09</t>
  </si>
  <si>
    <t>194,487.59</t>
  </si>
  <si>
    <t>14,102.00</t>
  </si>
  <si>
    <t>64,585.00</t>
  </si>
  <si>
    <t>863,000.00</t>
  </si>
  <si>
    <t>5,640.03</t>
  </si>
  <si>
    <t>6,506.93</t>
  </si>
  <si>
    <t>177,131.94</t>
  </si>
  <si>
    <t>193,935.94</t>
  </si>
  <si>
    <t>57,000.00</t>
  </si>
  <si>
    <t>2,078.01</t>
  </si>
  <si>
    <t>166,532.41</t>
  </si>
  <si>
    <t>17,750.00</t>
  </si>
  <si>
    <t>39,750.00</t>
  </si>
  <si>
    <t>42,000.00</t>
  </si>
  <si>
    <t>37,000.00</t>
  </si>
  <si>
    <t>9,000.00</t>
  </si>
  <si>
    <t>12,500.00</t>
  </si>
  <si>
    <t>24,900.00</t>
  </si>
  <si>
    <t>10,900.00</t>
  </si>
  <si>
    <t>8,500.00</t>
  </si>
  <si>
    <t>120,000.00</t>
  </si>
  <si>
    <t>6,000.00</t>
  </si>
  <si>
    <t>5,000.00</t>
  </si>
  <si>
    <t>22,200.00</t>
  </si>
  <si>
    <t>8,750.00</t>
  </si>
  <si>
    <t>59,500.00</t>
  </si>
  <si>
    <t>24,650.00</t>
  </si>
  <si>
    <t>162,766.70</t>
  </si>
  <si>
    <t>62,000.00</t>
  </si>
  <si>
    <t>100,000.00</t>
  </si>
  <si>
    <t>256,284.23</t>
  </si>
  <si>
    <t>194,497.34</t>
  </si>
  <si>
    <t>65,000.00</t>
  </si>
  <si>
    <t>30,948.49</t>
  </si>
  <si>
    <t>10,092.06</t>
  </si>
  <si>
    <t>39,000.00</t>
  </si>
  <si>
    <t>559,848.00</t>
  </si>
  <si>
    <t>268,941.52</t>
  </si>
  <si>
    <t>10,392.03</t>
  </si>
  <si>
    <t>211,647.22</t>
  </si>
  <si>
    <t>211,288.63</t>
  </si>
  <si>
    <t>194,329.02</t>
  </si>
  <si>
    <t>391,466.00</t>
  </si>
  <si>
    <t>1,000,000.00</t>
  </si>
  <si>
    <t>13,200.00</t>
  </si>
  <si>
    <t>102,575.39</t>
  </si>
  <si>
    <t>195,319.92</t>
  </si>
  <si>
    <t>650,180.00</t>
  </si>
  <si>
    <t>785,730.00</t>
  </si>
  <si>
    <t>937,500.00</t>
  </si>
  <si>
    <t>300,000.00</t>
  </si>
  <si>
    <t>137,584.15</t>
  </si>
  <si>
    <t>350,000.00</t>
  </si>
  <si>
    <t>156,000.00</t>
  </si>
  <si>
    <t>-350,000.00</t>
  </si>
  <si>
    <t>148,277.50</t>
  </si>
  <si>
    <t>174,104.75</t>
  </si>
  <si>
    <t>18,755.36</t>
  </si>
  <si>
    <t>91,021.23</t>
  </si>
  <si>
    <t>89.98</t>
  </si>
  <si>
    <t>33,594.33</t>
  </si>
  <si>
    <t>21,035.67</t>
  </si>
  <si>
    <t>152,467.59</t>
  </si>
  <si>
    <t>179,988.35</t>
  </si>
  <si>
    <t>145,208.24</t>
  </si>
  <si>
    <t>152,151.31</t>
  </si>
  <si>
    <t>6,175.85</t>
  </si>
  <si>
    <t>6,928.02</t>
  </si>
  <si>
    <t>160,786.95</t>
  </si>
  <si>
    <t>311,741.59</t>
  </si>
  <si>
    <t>149,857.33</t>
  </si>
  <si>
    <t>647,000.00</t>
  </si>
  <si>
    <t>19,750.00</t>
  </si>
  <si>
    <t>222,581.84</t>
  </si>
  <si>
    <t>157,070.00</t>
  </si>
  <si>
    <t>112,832.41</t>
  </si>
  <si>
    <t>145,659.14</t>
  </si>
  <si>
    <t>829.57</t>
  </si>
  <si>
    <t>165,476.52</t>
  </si>
  <si>
    <t>144,282.23</t>
  </si>
  <si>
    <t>4,156.02</t>
  </si>
  <si>
    <t>5,460.00</t>
  </si>
  <si>
    <t>10,500.00</t>
  </si>
  <si>
    <t>201,929.28</t>
  </si>
  <si>
    <t>169,824.14</t>
  </si>
  <si>
    <t>130,827.25</t>
  </si>
  <si>
    <t>14,962.02</t>
  </si>
  <si>
    <t>60,060.09</t>
  </si>
  <si>
    <t>8,000.00</t>
  </si>
  <si>
    <t>400,141.00</t>
  </si>
  <si>
    <t>150,039.64</t>
  </si>
  <si>
    <t>162,219.98</t>
  </si>
  <si>
    <t>300.00</t>
  </si>
  <si>
    <t>45.00</t>
  </si>
  <si>
    <t>126,006.72</t>
  </si>
  <si>
    <t>102,735.04</t>
  </si>
  <si>
    <t>440,000.00</t>
  </si>
  <si>
    <t>222,467.69</t>
  </si>
  <si>
    <t>106,891.73</t>
  </si>
  <si>
    <t>4,152.00</t>
  </si>
  <si>
    <t>71,198.00</t>
  </si>
  <si>
    <t>163,351.81</t>
  </si>
  <si>
    <t>17,040.39</t>
  </si>
  <si>
    <t>103,946.63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</si>
</sst>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0" fillId="0" borderId="0" xfId="1">
      <alignment vertical="center"/>
    </xf>
    <xf numFmtId="0" fontId="0" fillId="0" borderId="0" xfId="0" applyNumberFormat="1">
      <alignment vertical="center"/>
    </xf>
    <xf numFmtId="176" fontId="1" fillId="0" borderId="0" xfId="1" applyFont="1">
      <alignment vertical="center"/>
    </xf>
    <xf numFmtId="176" fontId="1" fillId="0" borderId="0" xfId="0" applyNumberFormat="1" applyFont="1">
      <alignment vertical="center"/>
    </xf>
    <xf numFmtId="176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6"/>
  <sheetViews>
    <sheetView tabSelected="1" workbookViewId="0">
      <pane ySplit="1" topLeftCell="A2" activePane="bottomLeft" state="frozen"/>
      <selection/>
      <selection pane="bottomLeft" activeCell="E320" sqref="E320"/>
    </sheetView>
  </sheetViews>
  <sheetFormatPr defaultColWidth="9" defaultRowHeight="16.8" outlineLevelCol="4"/>
  <cols>
    <col min="1" max="1" width="11" customWidth="1"/>
    <col min="2" max="2" width="19.375" customWidth="1"/>
    <col min="3" max="3" width="13.3125" customWidth="1"/>
    <col min="4" max="5" width="14.0625" customWidth="1"/>
  </cols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 t="s">
        <v>6</v>
      </c>
      <c r="C2" s="3">
        <v>0</v>
      </c>
      <c r="D2" s="3">
        <v>675247.7763</v>
      </c>
      <c r="E2" s="3">
        <v>675247.7763</v>
      </c>
    </row>
    <row r="3" spans="1:5">
      <c r="A3" t="s">
        <v>5</v>
      </c>
      <c r="B3" t="s">
        <v>7</v>
      </c>
      <c r="C3" s="3">
        <v>34200</v>
      </c>
      <c r="D3" s="3">
        <v>0</v>
      </c>
      <c r="E3" s="3">
        <v>34200</v>
      </c>
    </row>
    <row r="4" spans="1:5">
      <c r="A4" t="s">
        <v>5</v>
      </c>
      <c r="B4" t="s">
        <v>8</v>
      </c>
      <c r="C4" s="3">
        <v>48450</v>
      </c>
      <c r="D4" s="3">
        <v>0</v>
      </c>
      <c r="E4" s="3">
        <v>48450</v>
      </c>
    </row>
    <row r="5" spans="1:5">
      <c r="A5" t="s">
        <v>5</v>
      </c>
      <c r="B5" t="s">
        <v>9</v>
      </c>
      <c r="C5" s="3">
        <v>126540</v>
      </c>
      <c r="D5" s="3">
        <v>0</v>
      </c>
      <c r="E5" s="3">
        <v>126540</v>
      </c>
    </row>
    <row r="6" spans="1:5">
      <c r="A6" t="s">
        <v>5</v>
      </c>
      <c r="B6" t="s">
        <v>10</v>
      </c>
      <c r="C6" s="3">
        <v>239400</v>
      </c>
      <c r="D6" s="3">
        <v>0</v>
      </c>
      <c r="E6" s="3">
        <v>239400</v>
      </c>
    </row>
    <row r="7" spans="1:5">
      <c r="A7" t="s">
        <v>5</v>
      </c>
      <c r="B7" t="s">
        <v>11</v>
      </c>
      <c r="C7" s="3">
        <v>101175</v>
      </c>
      <c r="D7" s="3">
        <v>0</v>
      </c>
      <c r="E7" s="3">
        <v>101175</v>
      </c>
    </row>
    <row r="8" spans="1:5">
      <c r="A8" t="s">
        <v>5</v>
      </c>
      <c r="B8" t="s">
        <v>12</v>
      </c>
      <c r="C8" s="3">
        <v>112575</v>
      </c>
      <c r="D8" s="3">
        <v>0</v>
      </c>
      <c r="E8" s="3">
        <v>112575</v>
      </c>
    </row>
    <row r="9" spans="1:5">
      <c r="A9" t="s">
        <v>5</v>
      </c>
      <c r="B9" t="s">
        <v>13</v>
      </c>
      <c r="C9" s="3">
        <v>57000</v>
      </c>
      <c r="D9" s="3">
        <v>0</v>
      </c>
      <c r="E9" s="3">
        <v>57000</v>
      </c>
    </row>
    <row r="10" spans="1:5">
      <c r="A10" t="s">
        <v>5</v>
      </c>
      <c r="B10" t="s">
        <v>14</v>
      </c>
      <c r="C10" s="3">
        <v>210900</v>
      </c>
      <c r="D10" s="3">
        <v>0</v>
      </c>
      <c r="E10" s="3">
        <v>210900</v>
      </c>
    </row>
    <row r="11" spans="1:5">
      <c r="A11" t="s">
        <v>5</v>
      </c>
      <c r="B11" t="s">
        <v>15</v>
      </c>
      <c r="C11" s="3">
        <v>95475</v>
      </c>
      <c r="D11" s="3">
        <v>0</v>
      </c>
      <c r="E11" s="3">
        <v>95475</v>
      </c>
    </row>
    <row r="12" spans="1:5">
      <c r="A12" t="s">
        <v>5</v>
      </c>
      <c r="B12" t="s">
        <v>16</v>
      </c>
      <c r="C12" s="3">
        <v>140505</v>
      </c>
      <c r="D12" s="3">
        <v>0</v>
      </c>
      <c r="E12" s="3">
        <v>140505</v>
      </c>
    </row>
    <row r="13" spans="1:5">
      <c r="A13" t="s">
        <v>5</v>
      </c>
      <c r="B13" t="s">
        <v>17</v>
      </c>
      <c r="C13" s="3">
        <v>339150</v>
      </c>
      <c r="D13" s="3">
        <v>0</v>
      </c>
      <c r="E13" s="3">
        <v>339150</v>
      </c>
    </row>
    <row r="14" spans="1:5">
      <c r="A14" t="s">
        <v>5</v>
      </c>
      <c r="B14" t="s">
        <v>18</v>
      </c>
      <c r="C14" s="3">
        <v>71250</v>
      </c>
      <c r="D14" s="3">
        <v>0</v>
      </c>
      <c r="E14" s="3">
        <v>71250</v>
      </c>
    </row>
    <row r="15" spans="1:5">
      <c r="A15" t="s">
        <v>5</v>
      </c>
      <c r="B15" t="s">
        <v>19</v>
      </c>
      <c r="C15" s="3">
        <v>51300</v>
      </c>
      <c r="D15" s="3">
        <v>0</v>
      </c>
      <c r="E15" s="3">
        <v>51300</v>
      </c>
    </row>
    <row r="16" spans="1:5">
      <c r="A16" t="s">
        <v>5</v>
      </c>
      <c r="B16" t="s">
        <v>20</v>
      </c>
      <c r="C16" s="3">
        <v>49875</v>
      </c>
      <c r="D16" s="3">
        <v>0</v>
      </c>
      <c r="E16" s="3">
        <v>49875</v>
      </c>
    </row>
    <row r="17" spans="1:5">
      <c r="A17" t="s">
        <v>5</v>
      </c>
      <c r="B17" t="s">
        <v>21</v>
      </c>
      <c r="C17" s="3">
        <v>85500</v>
      </c>
      <c r="D17" s="3">
        <v>0</v>
      </c>
      <c r="E17" s="3">
        <v>85500</v>
      </c>
    </row>
    <row r="18" spans="1:5">
      <c r="A18" t="s">
        <v>5</v>
      </c>
      <c r="B18" t="s">
        <v>22</v>
      </c>
      <c r="C18" s="3">
        <v>0</v>
      </c>
      <c r="D18" s="3">
        <v>149.8167</v>
      </c>
      <c r="E18" s="3">
        <v>149.8167</v>
      </c>
    </row>
    <row r="19" spans="1:5">
      <c r="A19" t="s">
        <v>5</v>
      </c>
      <c r="B19" t="s">
        <v>23</v>
      </c>
      <c r="C19" s="3">
        <v>2257200</v>
      </c>
      <c r="D19" s="3">
        <v>0</v>
      </c>
      <c r="E19" s="3">
        <v>2257200</v>
      </c>
    </row>
    <row r="20" spans="1:5">
      <c r="A20" t="s">
        <v>5</v>
      </c>
      <c r="B20" t="s">
        <v>24</v>
      </c>
      <c r="C20" s="3">
        <v>55005</v>
      </c>
      <c r="D20" s="3">
        <v>0</v>
      </c>
      <c r="E20" s="3">
        <v>55005</v>
      </c>
    </row>
    <row r="21" spans="1:5">
      <c r="A21" t="s">
        <v>5</v>
      </c>
      <c r="B21" t="s">
        <v>24</v>
      </c>
      <c r="C21" s="3">
        <v>24.795</v>
      </c>
      <c r="D21" s="3">
        <v>0</v>
      </c>
      <c r="E21" s="3">
        <v>24.795</v>
      </c>
    </row>
    <row r="22" spans="1:5">
      <c r="A22" t="s">
        <v>5</v>
      </c>
      <c r="B22" t="s">
        <v>24</v>
      </c>
      <c r="C22" s="3">
        <v>3.705</v>
      </c>
      <c r="D22" s="3">
        <v>0</v>
      </c>
      <c r="E22" s="3">
        <v>3.705</v>
      </c>
    </row>
    <row r="23" spans="1:5">
      <c r="A23" t="s">
        <v>5</v>
      </c>
      <c r="B23" t="s">
        <v>25</v>
      </c>
      <c r="C23" s="3">
        <v>92625</v>
      </c>
      <c r="D23" s="3">
        <v>0</v>
      </c>
      <c r="E23" s="3">
        <v>92625</v>
      </c>
    </row>
    <row r="24" spans="1:5">
      <c r="A24" t="s">
        <v>5</v>
      </c>
      <c r="B24" t="s">
        <v>25</v>
      </c>
      <c r="C24" s="3">
        <v>24.795</v>
      </c>
      <c r="D24" s="3">
        <v>0</v>
      </c>
      <c r="E24" s="3">
        <v>24.795</v>
      </c>
    </row>
    <row r="25" spans="1:5">
      <c r="A25" t="s">
        <v>5</v>
      </c>
      <c r="B25" t="s">
        <v>25</v>
      </c>
      <c r="C25" s="3">
        <v>3.705</v>
      </c>
      <c r="D25" s="3">
        <v>0</v>
      </c>
      <c r="E25" s="3">
        <v>3.705</v>
      </c>
    </row>
    <row r="26" spans="1:5">
      <c r="A26" t="s">
        <v>26</v>
      </c>
      <c r="B26" t="s">
        <v>27</v>
      </c>
      <c r="C26" s="3">
        <v>55575</v>
      </c>
      <c r="D26" s="3">
        <v>0</v>
      </c>
      <c r="E26" s="3">
        <v>55575</v>
      </c>
    </row>
    <row r="27" spans="1:5">
      <c r="A27" t="s">
        <v>26</v>
      </c>
      <c r="B27" t="s">
        <v>27</v>
      </c>
      <c r="C27" s="3">
        <v>24.795</v>
      </c>
      <c r="D27" s="3">
        <v>0</v>
      </c>
      <c r="E27" s="3">
        <v>24.795</v>
      </c>
    </row>
    <row r="28" spans="1:5">
      <c r="A28" t="s">
        <v>26</v>
      </c>
      <c r="B28" t="s">
        <v>27</v>
      </c>
      <c r="C28" s="3">
        <v>3.705</v>
      </c>
      <c r="D28" s="3">
        <v>0</v>
      </c>
      <c r="E28" s="3">
        <v>3.705</v>
      </c>
    </row>
    <row r="29" spans="1:5">
      <c r="A29" t="s">
        <v>26</v>
      </c>
      <c r="B29" t="s">
        <v>28</v>
      </c>
      <c r="C29" s="3">
        <v>8830.782</v>
      </c>
      <c r="D29" s="3">
        <v>0</v>
      </c>
      <c r="E29" s="3">
        <v>8830.782</v>
      </c>
    </row>
    <row r="30" spans="1:5">
      <c r="A30" t="s">
        <v>26</v>
      </c>
      <c r="B30" t="s">
        <v>29</v>
      </c>
      <c r="C30" s="3">
        <v>0</v>
      </c>
      <c r="D30" s="3">
        <v>252235.2789</v>
      </c>
      <c r="E30" s="3">
        <v>252235.2789</v>
      </c>
    </row>
    <row r="31" spans="1:5">
      <c r="A31" t="s">
        <v>26</v>
      </c>
      <c r="B31" t="s">
        <v>30</v>
      </c>
      <c r="C31" s="3">
        <v>0</v>
      </c>
      <c r="D31" s="3">
        <v>1645.0533</v>
      </c>
      <c r="E31" s="3">
        <v>1645.0533</v>
      </c>
    </row>
    <row r="32" spans="1:5">
      <c r="A32" t="s">
        <v>31</v>
      </c>
      <c r="B32" t="s">
        <v>32</v>
      </c>
      <c r="C32" s="3">
        <v>0</v>
      </c>
      <c r="D32" s="3">
        <v>671011.1172</v>
      </c>
      <c r="E32" s="3">
        <v>671011.1172</v>
      </c>
    </row>
    <row r="33" spans="1:5">
      <c r="A33" t="s">
        <v>31</v>
      </c>
      <c r="B33" t="s">
        <v>33</v>
      </c>
      <c r="C33" s="3">
        <v>0</v>
      </c>
      <c r="D33" s="3">
        <v>727147.8243</v>
      </c>
      <c r="E33" s="3">
        <v>727147.8243</v>
      </c>
    </row>
    <row r="34" spans="1:5">
      <c r="A34" t="s">
        <v>31</v>
      </c>
      <c r="B34" t="s">
        <v>34</v>
      </c>
      <c r="C34" s="3">
        <v>0</v>
      </c>
      <c r="D34" s="3">
        <v>666000</v>
      </c>
      <c r="E34" s="3">
        <v>666000</v>
      </c>
    </row>
    <row r="35" spans="1:5">
      <c r="A35" t="s">
        <v>31</v>
      </c>
      <c r="B35" t="s">
        <v>35</v>
      </c>
      <c r="C35" s="3">
        <v>684000</v>
      </c>
      <c r="D35" s="3">
        <v>0</v>
      </c>
      <c r="E35" s="3">
        <v>684000</v>
      </c>
    </row>
    <row r="36" spans="1:5">
      <c r="A36" t="s">
        <v>31</v>
      </c>
      <c r="B36" t="s">
        <v>35</v>
      </c>
      <c r="C36" s="3">
        <v>24.795</v>
      </c>
      <c r="D36" s="3">
        <v>0</v>
      </c>
      <c r="E36" s="3">
        <v>24.795</v>
      </c>
    </row>
    <row r="37" spans="1:5">
      <c r="A37" t="s">
        <v>31</v>
      </c>
      <c r="B37" t="s">
        <v>35</v>
      </c>
      <c r="C37" s="3">
        <v>3.705</v>
      </c>
      <c r="D37" s="3">
        <v>0</v>
      </c>
      <c r="E37" s="3">
        <v>3.705</v>
      </c>
    </row>
    <row r="38" spans="1:5">
      <c r="A38" t="s">
        <v>31</v>
      </c>
      <c r="B38" t="s">
        <v>36</v>
      </c>
      <c r="C38" s="3">
        <v>684000</v>
      </c>
      <c r="D38" s="3">
        <v>0</v>
      </c>
      <c r="E38" s="3">
        <v>684000</v>
      </c>
    </row>
    <row r="39" spans="1:5">
      <c r="A39" t="s">
        <v>31</v>
      </c>
      <c r="B39" t="s">
        <v>36</v>
      </c>
      <c r="C39" s="3">
        <v>24.795</v>
      </c>
      <c r="D39" s="3">
        <v>0</v>
      </c>
      <c r="E39" s="3">
        <v>24.795</v>
      </c>
    </row>
    <row r="40" spans="1:5">
      <c r="A40" t="s">
        <v>31</v>
      </c>
      <c r="B40" t="s">
        <v>36</v>
      </c>
      <c r="C40" s="3">
        <v>3.705</v>
      </c>
      <c r="D40" s="3">
        <v>0</v>
      </c>
      <c r="E40" s="3">
        <v>3.705</v>
      </c>
    </row>
    <row r="41" spans="1:5">
      <c r="A41" t="s">
        <v>31</v>
      </c>
      <c r="B41" t="s">
        <v>37</v>
      </c>
      <c r="C41" s="3">
        <v>0</v>
      </c>
      <c r="D41" s="3">
        <v>3083.1471</v>
      </c>
      <c r="E41" s="3">
        <v>3083.1471</v>
      </c>
    </row>
    <row r="42" spans="1:5">
      <c r="A42" t="s">
        <v>31</v>
      </c>
      <c r="B42" t="s">
        <v>38</v>
      </c>
      <c r="C42" s="3">
        <v>0</v>
      </c>
      <c r="D42" s="3">
        <v>15484.5999</v>
      </c>
      <c r="E42" s="3">
        <v>15484.5999</v>
      </c>
    </row>
    <row r="43" spans="1:5">
      <c r="A43" t="s">
        <v>39</v>
      </c>
      <c r="B43" t="s">
        <v>40</v>
      </c>
      <c r="C43" s="3">
        <v>0</v>
      </c>
      <c r="D43" s="3">
        <v>732232.3347</v>
      </c>
      <c r="E43" s="3">
        <v>732232.3347</v>
      </c>
    </row>
    <row r="44" spans="1:5">
      <c r="A44" t="s">
        <v>39</v>
      </c>
      <c r="B44" t="s">
        <v>41</v>
      </c>
      <c r="C44" s="3">
        <v>62700</v>
      </c>
      <c r="D44" s="3">
        <v>0</v>
      </c>
      <c r="E44" s="3">
        <v>62700</v>
      </c>
    </row>
    <row r="45" spans="1:5">
      <c r="A45" t="s">
        <v>39</v>
      </c>
      <c r="B45" t="s">
        <v>41</v>
      </c>
      <c r="C45" s="3">
        <v>24.795</v>
      </c>
      <c r="D45" s="3">
        <v>0</v>
      </c>
      <c r="E45" s="3">
        <v>24.795</v>
      </c>
    </row>
    <row r="46" spans="1:5">
      <c r="A46" t="s">
        <v>39</v>
      </c>
      <c r="B46" t="s">
        <v>41</v>
      </c>
      <c r="C46" s="3">
        <v>3.705</v>
      </c>
      <c r="D46" s="3">
        <v>0</v>
      </c>
      <c r="E46" s="3">
        <v>3.705</v>
      </c>
    </row>
    <row r="47" spans="1:5">
      <c r="A47" t="s">
        <v>39</v>
      </c>
      <c r="B47" t="s">
        <v>42</v>
      </c>
      <c r="C47" s="3">
        <v>8977.5</v>
      </c>
      <c r="D47" s="3">
        <v>0</v>
      </c>
      <c r="E47" s="3">
        <v>8977.5</v>
      </c>
    </row>
    <row r="48" spans="1:5">
      <c r="A48" t="s">
        <v>39</v>
      </c>
      <c r="B48" t="s">
        <v>43</v>
      </c>
      <c r="C48" s="3">
        <v>0</v>
      </c>
      <c r="D48" s="3">
        <v>20426.3532</v>
      </c>
      <c r="E48" s="3">
        <v>20426.3532</v>
      </c>
    </row>
    <row r="49" spans="1:5">
      <c r="A49" t="s">
        <v>39</v>
      </c>
      <c r="B49" t="s">
        <v>44</v>
      </c>
      <c r="C49" s="3">
        <v>171000</v>
      </c>
      <c r="D49" s="3">
        <v>0</v>
      </c>
      <c r="E49" s="3">
        <v>171000</v>
      </c>
    </row>
    <row r="50" spans="1:5">
      <c r="A50" t="s">
        <v>45</v>
      </c>
      <c r="B50" t="s">
        <v>46</v>
      </c>
      <c r="C50" s="3">
        <v>0</v>
      </c>
      <c r="D50" s="3">
        <v>698874.1929</v>
      </c>
      <c r="E50" s="3">
        <v>698874.1929</v>
      </c>
    </row>
    <row r="51" spans="1:5">
      <c r="A51" t="s">
        <v>45</v>
      </c>
      <c r="B51" t="s">
        <v>47</v>
      </c>
      <c r="C51" s="3">
        <v>199500</v>
      </c>
      <c r="D51" s="3">
        <v>0</v>
      </c>
      <c r="E51" s="3">
        <v>199500</v>
      </c>
    </row>
    <row r="52" spans="1:5">
      <c r="A52" t="s">
        <v>45</v>
      </c>
      <c r="B52" t="s">
        <v>48</v>
      </c>
      <c r="C52" s="3">
        <v>296400</v>
      </c>
      <c r="D52" s="3">
        <v>0</v>
      </c>
      <c r="E52" s="3">
        <v>296400</v>
      </c>
    </row>
    <row r="53" spans="1:5">
      <c r="A53" t="s">
        <v>45</v>
      </c>
      <c r="B53" t="s">
        <v>49</v>
      </c>
      <c r="C53" s="3">
        <v>0</v>
      </c>
      <c r="D53" s="3">
        <v>4935.1599</v>
      </c>
      <c r="E53" s="3">
        <v>4935.1599</v>
      </c>
    </row>
    <row r="54" spans="1:5">
      <c r="A54" t="s">
        <v>50</v>
      </c>
      <c r="B54" t="s">
        <v>51</v>
      </c>
      <c r="C54" s="3">
        <v>0</v>
      </c>
      <c r="D54" s="3">
        <v>771888.339</v>
      </c>
      <c r="E54" s="3">
        <v>771888.339</v>
      </c>
    </row>
    <row r="55" spans="1:5">
      <c r="A55" t="s">
        <v>50</v>
      </c>
      <c r="B55" t="s">
        <v>52</v>
      </c>
      <c r="C55" s="3">
        <v>0</v>
      </c>
      <c r="D55" s="3">
        <v>2697.2667</v>
      </c>
      <c r="E55" s="3">
        <v>2697.2667</v>
      </c>
    </row>
    <row r="56" spans="1:5">
      <c r="A56" t="s">
        <v>50</v>
      </c>
      <c r="B56" t="s">
        <v>53</v>
      </c>
      <c r="C56" s="3">
        <v>0</v>
      </c>
      <c r="D56" s="3">
        <v>3623.0733</v>
      </c>
      <c r="E56" s="3">
        <v>3623.0733</v>
      </c>
    </row>
    <row r="57" spans="1:5">
      <c r="A57" t="s">
        <v>54</v>
      </c>
      <c r="B57" t="s">
        <v>55</v>
      </c>
      <c r="C57" s="3">
        <v>0</v>
      </c>
      <c r="D57" s="3">
        <v>706159.2672</v>
      </c>
      <c r="E57" s="3">
        <v>706159.2672</v>
      </c>
    </row>
    <row r="58" spans="1:5">
      <c r="A58" t="s">
        <v>54</v>
      </c>
      <c r="B58" t="s">
        <v>56</v>
      </c>
      <c r="C58" s="3">
        <v>2251500</v>
      </c>
      <c r="D58" s="3">
        <v>0</v>
      </c>
      <c r="E58" s="3">
        <v>2251500</v>
      </c>
    </row>
    <row r="59" spans="1:5">
      <c r="A59" t="s">
        <v>54</v>
      </c>
      <c r="B59" t="s">
        <v>57</v>
      </c>
      <c r="C59" s="3">
        <v>0</v>
      </c>
      <c r="D59" s="3">
        <v>11535.1533</v>
      </c>
      <c r="E59" s="3">
        <v>11535.1533</v>
      </c>
    </row>
    <row r="60" spans="1:5">
      <c r="A60" t="s">
        <v>58</v>
      </c>
      <c r="B60" t="s">
        <v>59</v>
      </c>
      <c r="C60" s="3">
        <v>0</v>
      </c>
      <c r="D60" s="3">
        <v>549078.0723</v>
      </c>
      <c r="E60" s="3">
        <v>549078.0723</v>
      </c>
    </row>
    <row r="61" spans="1:5">
      <c r="A61" t="s">
        <v>58</v>
      </c>
      <c r="B61" t="s">
        <v>60</v>
      </c>
      <c r="C61" s="3">
        <v>0</v>
      </c>
      <c r="D61" s="3">
        <v>797242.8591</v>
      </c>
      <c r="E61" s="3">
        <v>797242.8591</v>
      </c>
    </row>
    <row r="62" spans="1:5">
      <c r="A62" t="s">
        <v>58</v>
      </c>
      <c r="B62" t="s">
        <v>61</v>
      </c>
      <c r="C62" s="3">
        <v>0</v>
      </c>
      <c r="D62" s="3">
        <v>149.8167</v>
      </c>
      <c r="E62" s="3">
        <v>149.8167</v>
      </c>
    </row>
    <row r="63" spans="1:5">
      <c r="A63" t="s">
        <v>58</v>
      </c>
      <c r="B63" t="s">
        <v>62</v>
      </c>
      <c r="C63" s="3">
        <v>0</v>
      </c>
      <c r="D63" s="3">
        <v>5674.2201</v>
      </c>
      <c r="E63" s="3">
        <v>5674.2201</v>
      </c>
    </row>
    <row r="64" spans="1:5">
      <c r="A64" t="s">
        <v>58</v>
      </c>
      <c r="B64" t="s">
        <v>63</v>
      </c>
      <c r="C64" s="3">
        <v>0</v>
      </c>
      <c r="D64" s="3">
        <v>209.7567</v>
      </c>
      <c r="E64" s="3">
        <v>209.7567</v>
      </c>
    </row>
    <row r="65" spans="1:5">
      <c r="A65" t="s">
        <v>58</v>
      </c>
      <c r="B65" t="s">
        <v>64</v>
      </c>
      <c r="C65" s="3">
        <v>0</v>
      </c>
      <c r="D65" s="3">
        <v>13180.2066</v>
      </c>
      <c r="E65" s="3">
        <v>13180.2066</v>
      </c>
    </row>
    <row r="66" spans="1:5">
      <c r="A66" t="s">
        <v>65</v>
      </c>
      <c r="B66" t="s">
        <v>66</v>
      </c>
      <c r="C66" s="3">
        <v>0</v>
      </c>
      <c r="D66" s="3">
        <v>731579.7213</v>
      </c>
      <c r="E66" s="3">
        <v>731579.7213</v>
      </c>
    </row>
    <row r="67" spans="1:5">
      <c r="A67" t="s">
        <v>65</v>
      </c>
      <c r="B67" t="s">
        <v>67</v>
      </c>
      <c r="C67" s="3">
        <v>0</v>
      </c>
      <c r="D67" s="3">
        <v>3623.0733</v>
      </c>
      <c r="E67" s="3">
        <v>3623.0733</v>
      </c>
    </row>
    <row r="68" spans="1:5">
      <c r="A68" t="s">
        <v>68</v>
      </c>
      <c r="B68" t="s">
        <v>69</v>
      </c>
      <c r="C68" s="3">
        <v>0</v>
      </c>
      <c r="D68" s="3">
        <v>723802.7061</v>
      </c>
      <c r="E68" s="3">
        <v>723802.7061</v>
      </c>
    </row>
    <row r="69" spans="1:5">
      <c r="A69" t="s">
        <v>68</v>
      </c>
      <c r="B69" t="s">
        <v>70</v>
      </c>
      <c r="C69" s="3">
        <v>36913.2</v>
      </c>
      <c r="D69" s="3">
        <v>0</v>
      </c>
      <c r="E69" s="3">
        <v>36913.2</v>
      </c>
    </row>
    <row r="70" spans="1:5">
      <c r="A70" t="s">
        <v>68</v>
      </c>
      <c r="B70" t="s">
        <v>71</v>
      </c>
      <c r="C70" s="3">
        <v>16031.25</v>
      </c>
      <c r="D70" s="3">
        <v>0</v>
      </c>
      <c r="E70" s="3">
        <v>16031.25</v>
      </c>
    </row>
    <row r="71" spans="1:5">
      <c r="A71" t="s">
        <v>68</v>
      </c>
      <c r="B71" t="s">
        <v>72</v>
      </c>
      <c r="C71" s="3">
        <v>171000</v>
      </c>
      <c r="D71" s="3">
        <v>0</v>
      </c>
      <c r="E71" s="3">
        <v>171000</v>
      </c>
    </row>
    <row r="72" spans="1:5">
      <c r="A72" t="s">
        <v>68</v>
      </c>
      <c r="B72" t="s">
        <v>73</v>
      </c>
      <c r="C72" s="3">
        <v>0</v>
      </c>
      <c r="D72" s="3">
        <v>299.6667</v>
      </c>
      <c r="E72" s="3">
        <v>299.6667</v>
      </c>
    </row>
    <row r="73" spans="1:5">
      <c r="A73" t="s">
        <v>68</v>
      </c>
      <c r="B73" t="s">
        <v>74</v>
      </c>
      <c r="C73" s="3">
        <v>0</v>
      </c>
      <c r="D73" s="3">
        <v>2951.9118</v>
      </c>
      <c r="E73" s="3">
        <v>2951.9118</v>
      </c>
    </row>
    <row r="74" spans="1:5">
      <c r="A74" t="s">
        <v>75</v>
      </c>
      <c r="B74" t="s">
        <v>76</v>
      </c>
      <c r="C74" s="3">
        <v>0</v>
      </c>
      <c r="D74" s="3">
        <v>787698.1467</v>
      </c>
      <c r="E74" s="3">
        <v>787698.1467</v>
      </c>
    </row>
    <row r="75" spans="1:5">
      <c r="A75" t="s">
        <v>75</v>
      </c>
      <c r="B75" t="s">
        <v>77</v>
      </c>
      <c r="C75" s="3">
        <v>0</v>
      </c>
      <c r="D75" s="3">
        <v>149.8167</v>
      </c>
      <c r="E75" s="3">
        <v>149.8167</v>
      </c>
    </row>
    <row r="76" spans="1:5">
      <c r="A76" t="s">
        <v>78</v>
      </c>
      <c r="B76" t="s">
        <v>79</v>
      </c>
      <c r="C76" s="3">
        <v>0</v>
      </c>
      <c r="D76" s="3">
        <v>647537.6142</v>
      </c>
      <c r="E76" s="3">
        <v>647537.6142</v>
      </c>
    </row>
    <row r="77" spans="1:5">
      <c r="A77" t="s">
        <v>78</v>
      </c>
      <c r="B77" t="s">
        <v>80</v>
      </c>
      <c r="C77" s="3">
        <v>0</v>
      </c>
      <c r="D77" s="3">
        <v>557245.3635</v>
      </c>
      <c r="E77" s="3">
        <v>557245.3635</v>
      </c>
    </row>
    <row r="78" spans="1:5">
      <c r="A78" t="s">
        <v>78</v>
      </c>
      <c r="B78" t="s">
        <v>81</v>
      </c>
      <c r="C78" s="3">
        <v>0</v>
      </c>
      <c r="D78" s="3">
        <v>209.7567</v>
      </c>
      <c r="E78" s="3">
        <v>209.7567</v>
      </c>
    </row>
    <row r="79" spans="1:5">
      <c r="A79" t="s">
        <v>78</v>
      </c>
      <c r="B79" t="s">
        <v>82</v>
      </c>
      <c r="C79" s="3">
        <v>0</v>
      </c>
      <c r="D79" s="3">
        <v>15376.5414</v>
      </c>
      <c r="E79" s="3">
        <v>15376.5414</v>
      </c>
    </row>
    <row r="80" spans="1:5">
      <c r="A80" t="s">
        <v>78</v>
      </c>
      <c r="B80" t="s">
        <v>83</v>
      </c>
      <c r="C80" s="3">
        <v>0</v>
      </c>
      <c r="D80" s="3">
        <v>7246.1466</v>
      </c>
      <c r="E80" s="3">
        <v>7246.1466</v>
      </c>
    </row>
    <row r="81" spans="1:5">
      <c r="A81" t="s">
        <v>84</v>
      </c>
      <c r="B81" t="s">
        <v>85</v>
      </c>
      <c r="C81" s="3">
        <v>0</v>
      </c>
      <c r="D81" s="3">
        <v>1067980.8168</v>
      </c>
      <c r="E81" s="3">
        <v>1067980.8168</v>
      </c>
    </row>
    <row r="82" spans="1:5">
      <c r="A82" t="s">
        <v>84</v>
      </c>
      <c r="B82" t="s">
        <v>86</v>
      </c>
      <c r="C82" s="3">
        <v>128250</v>
      </c>
      <c r="D82" s="3">
        <v>0</v>
      </c>
      <c r="E82" s="3">
        <v>128250</v>
      </c>
    </row>
    <row r="83" spans="1:5">
      <c r="A83" t="s">
        <v>84</v>
      </c>
      <c r="B83" t="s">
        <v>87</v>
      </c>
      <c r="C83" s="3">
        <v>0</v>
      </c>
      <c r="D83" s="3">
        <v>5268.1266</v>
      </c>
      <c r="E83" s="3">
        <v>5268.1266</v>
      </c>
    </row>
    <row r="84" spans="1:5">
      <c r="A84" t="s">
        <v>88</v>
      </c>
      <c r="B84" t="s">
        <v>89</v>
      </c>
      <c r="C84" s="3">
        <v>0</v>
      </c>
      <c r="D84" s="3">
        <v>743125.8303</v>
      </c>
      <c r="E84" s="3">
        <v>743125.8303</v>
      </c>
    </row>
    <row r="85" spans="1:5">
      <c r="A85" t="s">
        <v>88</v>
      </c>
      <c r="B85" t="s">
        <v>90</v>
      </c>
      <c r="C85" s="3">
        <v>0</v>
      </c>
      <c r="D85" s="3">
        <v>149.8167</v>
      </c>
      <c r="E85" s="3">
        <v>149.8167</v>
      </c>
    </row>
    <row r="86" spans="1:5">
      <c r="A86" t="s">
        <v>88</v>
      </c>
      <c r="B86" t="s">
        <v>91</v>
      </c>
      <c r="C86" s="3">
        <v>0</v>
      </c>
      <c r="D86" s="3">
        <v>61298.8398</v>
      </c>
      <c r="E86" s="3">
        <v>61298.8398</v>
      </c>
    </row>
    <row r="87" spans="1:5">
      <c r="A87" t="s">
        <v>92</v>
      </c>
      <c r="B87" t="s">
        <v>93</v>
      </c>
      <c r="C87" s="3">
        <v>0</v>
      </c>
      <c r="D87" s="3">
        <v>870751.7433</v>
      </c>
      <c r="E87" s="3">
        <v>870751.7433</v>
      </c>
    </row>
    <row r="88" spans="1:5">
      <c r="A88" t="s">
        <v>92</v>
      </c>
      <c r="B88" t="s">
        <v>94</v>
      </c>
      <c r="C88" s="3">
        <v>0</v>
      </c>
      <c r="D88" s="3">
        <v>18454.9266</v>
      </c>
      <c r="E88" s="3">
        <v>18454.9266</v>
      </c>
    </row>
    <row r="89" spans="1:5">
      <c r="A89" t="s">
        <v>92</v>
      </c>
      <c r="B89" t="s">
        <v>95</v>
      </c>
      <c r="C89" s="3">
        <v>114000</v>
      </c>
      <c r="D89" s="3">
        <v>0</v>
      </c>
      <c r="E89" s="3">
        <v>114000</v>
      </c>
    </row>
    <row r="90" spans="1:5">
      <c r="A90" t="s">
        <v>92</v>
      </c>
      <c r="B90" t="s">
        <v>96</v>
      </c>
      <c r="C90" s="3">
        <v>84075</v>
      </c>
      <c r="D90" s="3">
        <v>0</v>
      </c>
      <c r="E90" s="3">
        <v>84075</v>
      </c>
    </row>
    <row r="91" spans="1:5">
      <c r="A91" t="s">
        <v>92</v>
      </c>
      <c r="B91" t="s">
        <v>97</v>
      </c>
      <c r="C91" s="3">
        <v>155325</v>
      </c>
      <c r="D91" s="3">
        <v>0</v>
      </c>
      <c r="E91" s="3">
        <v>155325</v>
      </c>
    </row>
    <row r="92" spans="1:5">
      <c r="A92" t="s">
        <v>98</v>
      </c>
      <c r="B92" t="s">
        <v>99</v>
      </c>
      <c r="C92" s="3">
        <v>0</v>
      </c>
      <c r="D92" s="3">
        <v>772659.4005</v>
      </c>
      <c r="E92" s="3">
        <v>772659.4005</v>
      </c>
    </row>
    <row r="93" spans="1:5">
      <c r="A93" t="s">
        <v>98</v>
      </c>
      <c r="B93" t="s">
        <v>100</v>
      </c>
      <c r="C93" s="3">
        <v>0</v>
      </c>
      <c r="D93" s="3">
        <v>13180.2066</v>
      </c>
      <c r="E93" s="3">
        <v>13180.2066</v>
      </c>
    </row>
    <row r="94" spans="1:5">
      <c r="A94" t="s">
        <v>101</v>
      </c>
      <c r="B94" t="s">
        <v>102</v>
      </c>
      <c r="C94" s="3">
        <v>1368000</v>
      </c>
      <c r="D94" s="3">
        <v>0</v>
      </c>
      <c r="E94" s="3">
        <v>1368000</v>
      </c>
    </row>
    <row r="95" spans="1:5">
      <c r="A95" t="s">
        <v>103</v>
      </c>
      <c r="B95" t="s">
        <v>104</v>
      </c>
      <c r="C95" s="3">
        <v>0</v>
      </c>
      <c r="D95" s="3">
        <v>597826.8081</v>
      </c>
      <c r="E95" s="3">
        <v>597826.8081</v>
      </c>
    </row>
    <row r="96" spans="1:5">
      <c r="A96" t="s">
        <v>103</v>
      </c>
      <c r="B96" t="s">
        <v>105</v>
      </c>
      <c r="C96" s="3">
        <v>0</v>
      </c>
      <c r="D96" s="3">
        <v>551833.7805</v>
      </c>
      <c r="E96" s="3">
        <v>551833.7805</v>
      </c>
    </row>
    <row r="97" spans="1:5">
      <c r="A97" t="s">
        <v>103</v>
      </c>
      <c r="B97" t="s">
        <v>106</v>
      </c>
      <c r="C97" s="3">
        <v>0</v>
      </c>
      <c r="D97" s="3">
        <v>149.8167</v>
      </c>
      <c r="E97" s="3">
        <v>149.8167</v>
      </c>
    </row>
    <row r="98" spans="1:5">
      <c r="A98" t="s">
        <v>103</v>
      </c>
      <c r="B98" t="s">
        <v>107</v>
      </c>
      <c r="C98" s="3">
        <v>0</v>
      </c>
      <c r="D98" s="3">
        <v>33836.9625</v>
      </c>
      <c r="E98" s="3">
        <v>33836.9625</v>
      </c>
    </row>
    <row r="99" spans="1:5">
      <c r="A99" t="s">
        <v>103</v>
      </c>
      <c r="B99" t="s">
        <v>108</v>
      </c>
      <c r="C99" s="3">
        <v>0</v>
      </c>
      <c r="D99" s="3">
        <v>51408.7398</v>
      </c>
      <c r="E99" s="3">
        <v>51408.7398</v>
      </c>
    </row>
    <row r="100" spans="1:5">
      <c r="A100" t="s">
        <v>103</v>
      </c>
      <c r="B100" t="s">
        <v>109</v>
      </c>
      <c r="C100" s="3">
        <v>0</v>
      </c>
      <c r="D100" s="3">
        <v>14.9184</v>
      </c>
      <c r="E100" s="3">
        <v>14.9184</v>
      </c>
    </row>
    <row r="101" spans="1:5">
      <c r="A101" t="s">
        <v>110</v>
      </c>
      <c r="B101" t="s">
        <v>111</v>
      </c>
      <c r="C101" s="3">
        <v>1482000</v>
      </c>
      <c r="D101" s="3">
        <v>0</v>
      </c>
      <c r="E101" s="3">
        <v>1482000</v>
      </c>
    </row>
    <row r="102" spans="1:5">
      <c r="A102" t="s">
        <v>110</v>
      </c>
      <c r="B102" t="s">
        <v>112</v>
      </c>
      <c r="C102" s="3">
        <v>142500</v>
      </c>
      <c r="D102" s="3">
        <v>0</v>
      </c>
      <c r="E102" s="3">
        <v>142500</v>
      </c>
    </row>
    <row r="103" spans="1:5">
      <c r="A103" t="s">
        <v>110</v>
      </c>
      <c r="B103" t="s">
        <v>113</v>
      </c>
      <c r="C103" s="3">
        <v>114000</v>
      </c>
      <c r="D103" s="3">
        <v>0</v>
      </c>
      <c r="E103" s="3">
        <v>114000</v>
      </c>
    </row>
    <row r="104" spans="1:5">
      <c r="A104" t="s">
        <v>110</v>
      </c>
      <c r="B104" t="s">
        <v>114</v>
      </c>
      <c r="C104" s="3">
        <v>0</v>
      </c>
      <c r="D104" s="3">
        <v>376081.8417</v>
      </c>
      <c r="E104" s="3">
        <v>376081.8417</v>
      </c>
    </row>
    <row r="105" spans="1:5">
      <c r="A105" t="s">
        <v>110</v>
      </c>
      <c r="B105" t="s">
        <v>115</v>
      </c>
      <c r="C105" s="3">
        <v>0</v>
      </c>
      <c r="D105" s="3">
        <v>12187.8999</v>
      </c>
      <c r="E105" s="3">
        <v>12187.8999</v>
      </c>
    </row>
    <row r="106" spans="1:5">
      <c r="A106" t="s">
        <v>116</v>
      </c>
      <c r="B106" t="s">
        <v>117</v>
      </c>
      <c r="C106" s="3">
        <v>0</v>
      </c>
      <c r="D106" s="3">
        <v>765885.3147</v>
      </c>
      <c r="E106" s="3">
        <v>765885.3147</v>
      </c>
    </row>
    <row r="107" spans="1:5">
      <c r="A107" t="s">
        <v>116</v>
      </c>
      <c r="B107" t="s">
        <v>118</v>
      </c>
      <c r="C107" s="3">
        <v>203356.05</v>
      </c>
      <c r="D107" s="3">
        <v>0</v>
      </c>
      <c r="E107" s="3">
        <v>203356.05</v>
      </c>
    </row>
    <row r="108" spans="1:5">
      <c r="A108" t="s">
        <v>116</v>
      </c>
      <c r="B108" t="s">
        <v>119</v>
      </c>
      <c r="C108" s="3">
        <v>0</v>
      </c>
      <c r="D108" s="3">
        <v>149.8167</v>
      </c>
      <c r="E108" s="3">
        <v>149.8167</v>
      </c>
    </row>
    <row r="109" spans="1:5">
      <c r="A109" t="s">
        <v>116</v>
      </c>
      <c r="B109" t="s">
        <v>120</v>
      </c>
      <c r="C109" s="3">
        <v>0</v>
      </c>
      <c r="D109" s="3">
        <v>25374.6999</v>
      </c>
      <c r="E109" s="3">
        <v>25374.6999</v>
      </c>
    </row>
    <row r="110" spans="1:5">
      <c r="A110" t="s">
        <v>121</v>
      </c>
      <c r="B110" t="s">
        <v>122</v>
      </c>
      <c r="C110" s="3">
        <v>0</v>
      </c>
      <c r="D110" s="3">
        <v>716054.7951</v>
      </c>
      <c r="E110" s="3">
        <v>716054.7951</v>
      </c>
    </row>
    <row r="111" spans="1:5">
      <c r="A111" t="s">
        <v>123</v>
      </c>
      <c r="B111" t="s">
        <v>124</v>
      </c>
      <c r="C111" s="3">
        <v>0</v>
      </c>
      <c r="D111" s="3">
        <v>879899.7528</v>
      </c>
      <c r="E111" s="3">
        <v>879899.7528</v>
      </c>
    </row>
    <row r="112" spans="1:5">
      <c r="A112" t="s">
        <v>123</v>
      </c>
      <c r="B112" t="s">
        <v>125</v>
      </c>
      <c r="C112" s="3">
        <v>0</v>
      </c>
      <c r="D112" s="3">
        <v>3623.0733</v>
      </c>
      <c r="E112" s="3">
        <v>3623.0733</v>
      </c>
    </row>
    <row r="113" spans="1:5">
      <c r="A113" t="s">
        <v>123</v>
      </c>
      <c r="B113" t="s">
        <v>126</v>
      </c>
      <c r="C113" s="3">
        <v>0</v>
      </c>
      <c r="D113" s="3">
        <v>1645.0533</v>
      </c>
      <c r="E113" s="3">
        <v>1645.0533</v>
      </c>
    </row>
    <row r="114" spans="1:5">
      <c r="A114" t="s">
        <v>127</v>
      </c>
      <c r="B114" t="s">
        <v>128</v>
      </c>
      <c r="C114" s="3">
        <v>0</v>
      </c>
      <c r="D114" s="3">
        <v>1155291.8023</v>
      </c>
      <c r="E114" s="3">
        <v>1155291.8023</v>
      </c>
    </row>
    <row r="115" spans="1:5">
      <c r="A115" t="s">
        <v>127</v>
      </c>
      <c r="B115" t="s">
        <v>129</v>
      </c>
      <c r="C115" s="3">
        <v>0</v>
      </c>
      <c r="D115" s="3">
        <v>624031.9283</v>
      </c>
      <c r="E115" s="3">
        <v>624031.9283</v>
      </c>
    </row>
    <row r="116" spans="1:5">
      <c r="A116" t="s">
        <v>127</v>
      </c>
      <c r="B116" t="s">
        <v>130</v>
      </c>
      <c r="C116" s="3">
        <v>0</v>
      </c>
      <c r="D116" s="3">
        <v>7964.8874</v>
      </c>
      <c r="E116" s="3">
        <v>7964.8874</v>
      </c>
    </row>
    <row r="117" spans="1:5">
      <c r="A117" t="s">
        <v>127</v>
      </c>
      <c r="B117" t="s">
        <v>131</v>
      </c>
      <c r="C117" s="3">
        <v>0</v>
      </c>
      <c r="D117" s="3">
        <v>162.4139</v>
      </c>
      <c r="E117" s="3">
        <v>162.4139</v>
      </c>
    </row>
    <row r="118" spans="1:5">
      <c r="A118" t="s">
        <v>127</v>
      </c>
      <c r="B118" t="s">
        <v>132</v>
      </c>
      <c r="C118" s="3">
        <v>159600</v>
      </c>
      <c r="D118" s="3">
        <v>0</v>
      </c>
      <c r="E118" s="3">
        <v>159600</v>
      </c>
    </row>
    <row r="119" spans="1:5">
      <c r="A119" t="s">
        <v>127</v>
      </c>
      <c r="B119" t="s">
        <v>133</v>
      </c>
      <c r="C119" s="3">
        <v>1995</v>
      </c>
      <c r="D119" s="3">
        <v>0</v>
      </c>
      <c r="E119" s="3">
        <v>1995</v>
      </c>
    </row>
    <row r="120" spans="1:5">
      <c r="A120" t="s">
        <v>127</v>
      </c>
      <c r="B120" t="s">
        <v>133</v>
      </c>
      <c r="C120" s="3">
        <v>299.25</v>
      </c>
      <c r="D120" s="3">
        <v>0</v>
      </c>
      <c r="E120" s="3">
        <v>299.25</v>
      </c>
    </row>
    <row r="121" spans="1:5">
      <c r="A121" t="s">
        <v>127</v>
      </c>
      <c r="B121" t="s">
        <v>134</v>
      </c>
      <c r="C121" s="3">
        <v>117040</v>
      </c>
      <c r="D121" s="3">
        <v>0</v>
      </c>
      <c r="E121" s="3">
        <v>117040</v>
      </c>
    </row>
    <row r="122" spans="1:5">
      <c r="A122" t="s">
        <v>127</v>
      </c>
      <c r="B122" t="s">
        <v>135</v>
      </c>
      <c r="C122" s="3">
        <v>31920</v>
      </c>
      <c r="D122" s="3">
        <v>0</v>
      </c>
      <c r="E122" s="3">
        <v>31920</v>
      </c>
    </row>
    <row r="123" spans="1:5">
      <c r="A123" t="s">
        <v>127</v>
      </c>
      <c r="B123" t="s">
        <v>136</v>
      </c>
      <c r="C123" s="3">
        <v>45220</v>
      </c>
      <c r="D123" s="3">
        <v>0</v>
      </c>
      <c r="E123" s="3">
        <v>45220</v>
      </c>
    </row>
    <row r="124" spans="1:5">
      <c r="A124" t="s">
        <v>127</v>
      </c>
      <c r="B124" t="s">
        <v>137</v>
      </c>
      <c r="C124" s="3">
        <v>638400</v>
      </c>
      <c r="D124" s="3">
        <v>0</v>
      </c>
      <c r="E124" s="3">
        <v>638400</v>
      </c>
    </row>
    <row r="125" spans="1:5">
      <c r="A125" t="s">
        <v>127</v>
      </c>
      <c r="B125" t="s">
        <v>138</v>
      </c>
      <c r="C125" s="3">
        <v>30145.78</v>
      </c>
      <c r="D125" s="3">
        <v>0</v>
      </c>
      <c r="E125" s="3">
        <v>30145.78</v>
      </c>
    </row>
    <row r="126" spans="1:5">
      <c r="A126" t="s">
        <v>127</v>
      </c>
      <c r="B126" t="s">
        <v>139</v>
      </c>
      <c r="C126" s="3">
        <v>26600</v>
      </c>
      <c r="D126" s="3">
        <v>0</v>
      </c>
      <c r="E126" s="3">
        <v>26600</v>
      </c>
    </row>
    <row r="127" spans="1:5">
      <c r="A127" t="s">
        <v>127</v>
      </c>
      <c r="B127" t="s">
        <v>140</v>
      </c>
      <c r="C127" s="3">
        <v>94430</v>
      </c>
      <c r="D127" s="3">
        <v>0</v>
      </c>
      <c r="E127" s="3">
        <v>94430</v>
      </c>
    </row>
    <row r="128" spans="1:5">
      <c r="A128" t="s">
        <v>141</v>
      </c>
      <c r="B128" t="s">
        <v>142</v>
      </c>
      <c r="C128" s="3">
        <v>638400</v>
      </c>
      <c r="D128" s="3">
        <v>0</v>
      </c>
      <c r="E128" s="3">
        <v>638400</v>
      </c>
    </row>
    <row r="129" spans="1:5">
      <c r="A129" t="s">
        <v>141</v>
      </c>
      <c r="B129" t="s">
        <v>143</v>
      </c>
      <c r="C129" s="3">
        <v>105070</v>
      </c>
      <c r="D129" s="3">
        <v>0</v>
      </c>
      <c r="E129" s="3">
        <v>105070</v>
      </c>
    </row>
    <row r="130" spans="1:5">
      <c r="A130" t="s">
        <v>141</v>
      </c>
      <c r="B130" t="s">
        <v>144</v>
      </c>
      <c r="C130" s="3">
        <v>223440</v>
      </c>
      <c r="D130" s="3">
        <v>0</v>
      </c>
      <c r="E130" s="3">
        <v>223440</v>
      </c>
    </row>
    <row r="131" spans="1:5">
      <c r="A131" t="s">
        <v>141</v>
      </c>
      <c r="B131" t="s">
        <v>145</v>
      </c>
      <c r="C131" s="3">
        <v>47880</v>
      </c>
      <c r="D131" s="3">
        <v>0</v>
      </c>
      <c r="E131" s="3">
        <v>47880</v>
      </c>
    </row>
    <row r="132" spans="1:5">
      <c r="A132" t="s">
        <v>141</v>
      </c>
      <c r="B132" t="s">
        <v>146</v>
      </c>
      <c r="C132" s="3">
        <v>66500</v>
      </c>
      <c r="D132" s="3">
        <v>0</v>
      </c>
      <c r="E132" s="3">
        <v>66500</v>
      </c>
    </row>
    <row r="133" spans="1:5">
      <c r="A133" t="s">
        <v>141</v>
      </c>
      <c r="B133" t="s">
        <v>147</v>
      </c>
      <c r="C133" s="3">
        <v>131138</v>
      </c>
      <c r="D133" s="3">
        <v>0</v>
      </c>
      <c r="E133" s="3">
        <v>131138</v>
      </c>
    </row>
    <row r="134" spans="1:5">
      <c r="A134" t="s">
        <v>141</v>
      </c>
      <c r="B134" t="s">
        <v>148</v>
      </c>
      <c r="C134" s="3">
        <v>316540</v>
      </c>
      <c r="D134" s="3">
        <v>0</v>
      </c>
      <c r="E134" s="3">
        <v>316540</v>
      </c>
    </row>
    <row r="135" spans="1:5">
      <c r="A135" t="s">
        <v>141</v>
      </c>
      <c r="B135" t="s">
        <v>149</v>
      </c>
      <c r="C135" s="3">
        <v>90440</v>
      </c>
      <c r="D135" s="3">
        <v>0</v>
      </c>
      <c r="E135" s="3">
        <v>90440</v>
      </c>
    </row>
    <row r="136" spans="1:5">
      <c r="A136" t="s">
        <v>141</v>
      </c>
      <c r="B136" t="s">
        <v>150</v>
      </c>
      <c r="C136" s="3">
        <v>46550</v>
      </c>
      <c r="D136" s="3">
        <v>0</v>
      </c>
      <c r="E136" s="3">
        <v>46550</v>
      </c>
    </row>
    <row r="137" spans="1:5">
      <c r="A137" t="s">
        <v>141</v>
      </c>
      <c r="B137" t="s">
        <v>151</v>
      </c>
      <c r="C137" s="3">
        <v>118104</v>
      </c>
      <c r="D137" s="3">
        <v>0</v>
      </c>
      <c r="E137" s="3">
        <v>118104</v>
      </c>
    </row>
    <row r="138" spans="1:5">
      <c r="A138" t="s">
        <v>141</v>
      </c>
      <c r="B138" t="s">
        <v>152</v>
      </c>
      <c r="C138" s="3">
        <v>53200</v>
      </c>
      <c r="D138" s="3">
        <v>0</v>
      </c>
      <c r="E138" s="3">
        <v>53200</v>
      </c>
    </row>
    <row r="139" spans="1:5">
      <c r="A139" t="s">
        <v>141</v>
      </c>
      <c r="B139" t="s">
        <v>153</v>
      </c>
      <c r="C139" s="3">
        <v>196840</v>
      </c>
      <c r="D139" s="3">
        <v>0</v>
      </c>
      <c r="E139" s="3">
        <v>196840</v>
      </c>
    </row>
    <row r="140" spans="1:5">
      <c r="A140" t="s">
        <v>141</v>
      </c>
      <c r="B140" t="s">
        <v>154</v>
      </c>
      <c r="C140" s="3">
        <v>0</v>
      </c>
      <c r="D140" s="3">
        <v>463894.1333</v>
      </c>
      <c r="E140" s="3">
        <v>463894.1333</v>
      </c>
    </row>
    <row r="141" spans="1:5">
      <c r="A141" t="s">
        <v>141</v>
      </c>
      <c r="B141" t="s">
        <v>155</v>
      </c>
      <c r="C141" s="3">
        <v>0</v>
      </c>
      <c r="D141" s="3">
        <v>3927.7161</v>
      </c>
      <c r="E141" s="3">
        <v>3927.7161</v>
      </c>
    </row>
    <row r="142" spans="1:5">
      <c r="A142" t="s">
        <v>156</v>
      </c>
      <c r="B142" t="s">
        <v>157</v>
      </c>
      <c r="C142" s="3">
        <v>0</v>
      </c>
      <c r="D142" s="3">
        <v>876300.7499</v>
      </c>
      <c r="E142" s="3">
        <v>876300.7499</v>
      </c>
    </row>
    <row r="143" spans="1:5">
      <c r="A143" t="s">
        <v>156</v>
      </c>
      <c r="B143" t="s">
        <v>158</v>
      </c>
      <c r="C143" s="3">
        <v>0</v>
      </c>
      <c r="D143" s="3">
        <v>2924.0639</v>
      </c>
      <c r="E143" s="3">
        <v>2924.0639</v>
      </c>
    </row>
    <row r="144" spans="1:5">
      <c r="A144" t="s">
        <v>156</v>
      </c>
      <c r="B144" t="s">
        <v>159</v>
      </c>
      <c r="C144" s="3">
        <v>0</v>
      </c>
      <c r="D144" s="3">
        <v>23573.4444</v>
      </c>
      <c r="E144" s="3">
        <v>23573.4444</v>
      </c>
    </row>
    <row r="145" spans="1:5">
      <c r="A145" t="s">
        <v>160</v>
      </c>
      <c r="B145" t="s">
        <v>161</v>
      </c>
      <c r="C145" s="3">
        <v>0</v>
      </c>
      <c r="D145" s="3">
        <v>824261.2281</v>
      </c>
      <c r="E145" s="3">
        <v>824261.2281</v>
      </c>
    </row>
    <row r="146" spans="1:5">
      <c r="A146" t="s">
        <v>160</v>
      </c>
      <c r="B146" t="s">
        <v>162</v>
      </c>
      <c r="C146" s="3">
        <v>220780</v>
      </c>
      <c r="D146" s="3">
        <v>0</v>
      </c>
      <c r="E146" s="3">
        <v>220780</v>
      </c>
    </row>
    <row r="147" spans="1:5">
      <c r="A147" t="s">
        <v>160</v>
      </c>
      <c r="B147" t="s">
        <v>163</v>
      </c>
      <c r="C147" s="3">
        <v>0</v>
      </c>
      <c r="D147" s="3">
        <v>12505.0761</v>
      </c>
      <c r="E147" s="3">
        <v>12505.0761</v>
      </c>
    </row>
    <row r="148" spans="1:5">
      <c r="A148" t="s">
        <v>164</v>
      </c>
      <c r="B148" t="s">
        <v>165</v>
      </c>
      <c r="C148" s="3">
        <v>0</v>
      </c>
      <c r="D148" s="3">
        <v>842050.8027</v>
      </c>
      <c r="E148" s="3">
        <v>842050.8027</v>
      </c>
    </row>
    <row r="149" spans="1:5">
      <c r="A149" t="s">
        <v>164</v>
      </c>
      <c r="B149" t="s">
        <v>166</v>
      </c>
      <c r="C149" s="3">
        <v>0</v>
      </c>
      <c r="D149" s="3">
        <v>1299.5639</v>
      </c>
      <c r="E149" s="3">
        <v>1299.5639</v>
      </c>
    </row>
    <row r="150" spans="1:5">
      <c r="A150" t="s">
        <v>167</v>
      </c>
      <c r="B150" t="s">
        <v>168</v>
      </c>
      <c r="C150" s="3">
        <v>0</v>
      </c>
      <c r="D150" s="3">
        <v>417063.6249</v>
      </c>
      <c r="E150" s="3">
        <v>417063.6249</v>
      </c>
    </row>
    <row r="151" spans="1:5">
      <c r="A151" t="s">
        <v>167</v>
      </c>
      <c r="B151" t="s">
        <v>169</v>
      </c>
      <c r="C151" s="3">
        <v>0</v>
      </c>
      <c r="D151" s="3">
        <v>702100.1999</v>
      </c>
      <c r="E151" s="3">
        <v>702100.1999</v>
      </c>
    </row>
    <row r="152" spans="1:5">
      <c r="A152" t="s">
        <v>167</v>
      </c>
      <c r="B152" t="s">
        <v>170</v>
      </c>
      <c r="C152" s="3">
        <v>37511.32</v>
      </c>
      <c r="D152" s="3">
        <v>0</v>
      </c>
      <c r="E152" s="3">
        <v>37511.32</v>
      </c>
    </row>
    <row r="153" spans="1:5">
      <c r="A153" t="s">
        <v>167</v>
      </c>
      <c r="B153" t="s">
        <v>171</v>
      </c>
      <c r="C153" s="3">
        <v>171796.1</v>
      </c>
      <c r="D153" s="3">
        <v>0</v>
      </c>
      <c r="E153" s="3">
        <v>171796.1</v>
      </c>
    </row>
    <row r="154" spans="1:5">
      <c r="A154" t="s">
        <v>167</v>
      </c>
      <c r="B154" t="s">
        <v>171</v>
      </c>
      <c r="C154" s="3">
        <v>23.142</v>
      </c>
      <c r="D154" s="3">
        <v>0</v>
      </c>
      <c r="E154" s="3">
        <v>23.142</v>
      </c>
    </row>
    <row r="155" spans="1:5">
      <c r="A155" t="s">
        <v>167</v>
      </c>
      <c r="B155" t="s">
        <v>171</v>
      </c>
      <c r="C155" s="3">
        <v>3.458</v>
      </c>
      <c r="D155" s="3">
        <v>0</v>
      </c>
      <c r="E155" s="3">
        <v>3.458</v>
      </c>
    </row>
    <row r="156" spans="1:5">
      <c r="A156" t="s">
        <v>167</v>
      </c>
      <c r="B156" t="s">
        <v>172</v>
      </c>
      <c r="C156" s="3">
        <v>2295580</v>
      </c>
      <c r="D156" s="3">
        <v>0</v>
      </c>
      <c r="E156" s="3">
        <v>2295580</v>
      </c>
    </row>
    <row r="157" spans="1:5">
      <c r="A157" t="s">
        <v>167</v>
      </c>
      <c r="B157" t="s">
        <v>173</v>
      </c>
      <c r="C157" s="3">
        <v>0</v>
      </c>
      <c r="D157" s="3">
        <v>162.4139</v>
      </c>
      <c r="E157" s="3">
        <v>162.4139</v>
      </c>
    </row>
    <row r="158" spans="1:5">
      <c r="A158" t="s">
        <v>167</v>
      </c>
      <c r="B158" t="s">
        <v>174</v>
      </c>
      <c r="C158" s="3">
        <v>0</v>
      </c>
      <c r="D158" s="3">
        <v>20360.5083</v>
      </c>
      <c r="E158" s="3">
        <v>20360.5083</v>
      </c>
    </row>
    <row r="159" spans="1:5">
      <c r="A159" t="s">
        <v>167</v>
      </c>
      <c r="B159" t="s">
        <v>175</v>
      </c>
      <c r="C159" s="3">
        <v>0</v>
      </c>
      <c r="D159" s="3">
        <v>23490.0173</v>
      </c>
      <c r="E159" s="3">
        <v>23490.0173</v>
      </c>
    </row>
    <row r="160" spans="1:5">
      <c r="A160" t="s">
        <v>176</v>
      </c>
      <c r="B160" t="s">
        <v>177</v>
      </c>
      <c r="C160" s="3">
        <v>0</v>
      </c>
      <c r="D160" s="3">
        <v>639446.3034</v>
      </c>
      <c r="E160" s="3">
        <v>639446.3034</v>
      </c>
    </row>
    <row r="161" spans="1:5">
      <c r="A161" t="s">
        <v>176</v>
      </c>
      <c r="B161" t="s">
        <v>178</v>
      </c>
      <c r="C161" s="3">
        <v>159600</v>
      </c>
      <c r="D161" s="3">
        <v>0</v>
      </c>
      <c r="E161" s="3">
        <v>159600</v>
      </c>
    </row>
    <row r="162" spans="1:5">
      <c r="A162" t="s">
        <v>179</v>
      </c>
      <c r="B162" t="s">
        <v>180</v>
      </c>
      <c r="C162" s="3">
        <v>0</v>
      </c>
      <c r="D162" s="3">
        <v>700108.7434</v>
      </c>
      <c r="E162" s="3">
        <v>700108.7434</v>
      </c>
    </row>
    <row r="163" spans="1:5">
      <c r="A163" t="s">
        <v>179</v>
      </c>
      <c r="B163" t="s">
        <v>181</v>
      </c>
      <c r="C163" s="3">
        <v>106400</v>
      </c>
      <c r="D163" s="3">
        <v>0</v>
      </c>
      <c r="E163" s="3">
        <v>106400</v>
      </c>
    </row>
    <row r="164" spans="1:5">
      <c r="A164" t="s">
        <v>179</v>
      </c>
      <c r="B164" t="s">
        <v>182</v>
      </c>
      <c r="C164" s="3">
        <v>151620</v>
      </c>
      <c r="D164" s="3">
        <v>0</v>
      </c>
      <c r="E164" s="3">
        <v>151620</v>
      </c>
    </row>
    <row r="165" spans="1:5">
      <c r="A165" t="s">
        <v>179</v>
      </c>
      <c r="B165" t="s">
        <v>183</v>
      </c>
      <c r="C165" s="3">
        <v>0</v>
      </c>
      <c r="D165" s="3">
        <v>7501.6161</v>
      </c>
      <c r="E165" s="3">
        <v>7501.6161</v>
      </c>
    </row>
    <row r="166" spans="1:5">
      <c r="A166" t="s">
        <v>184</v>
      </c>
      <c r="B166" t="s">
        <v>185</v>
      </c>
      <c r="C166" s="3">
        <v>0</v>
      </c>
      <c r="D166" s="3">
        <v>601182.0001</v>
      </c>
      <c r="E166" s="3">
        <v>601182.0001</v>
      </c>
    </row>
    <row r="167" spans="1:5">
      <c r="A167" t="s">
        <v>186</v>
      </c>
      <c r="B167" t="s">
        <v>187</v>
      </c>
      <c r="C167" s="3">
        <v>47215</v>
      </c>
      <c r="D167" s="3">
        <v>0</v>
      </c>
      <c r="E167" s="3">
        <v>47215</v>
      </c>
    </row>
    <row r="168" spans="1:5">
      <c r="A168" t="s">
        <v>186</v>
      </c>
      <c r="B168" t="s">
        <v>188</v>
      </c>
      <c r="C168" s="3">
        <v>105735</v>
      </c>
      <c r="D168" s="3">
        <v>0</v>
      </c>
      <c r="E168" s="3">
        <v>105735</v>
      </c>
    </row>
    <row r="169" spans="1:5">
      <c r="A169" t="s">
        <v>186</v>
      </c>
      <c r="B169" t="s">
        <v>189</v>
      </c>
      <c r="C169" s="3">
        <v>111720</v>
      </c>
      <c r="D169" s="3">
        <v>0</v>
      </c>
      <c r="E169" s="3">
        <v>111720</v>
      </c>
    </row>
    <row r="170" spans="1:5">
      <c r="A170" t="s">
        <v>186</v>
      </c>
      <c r="B170" t="s">
        <v>190</v>
      </c>
      <c r="C170" s="3">
        <v>98420</v>
      </c>
      <c r="D170" s="3">
        <v>0</v>
      </c>
      <c r="E170" s="3">
        <v>98420</v>
      </c>
    </row>
    <row r="171" spans="1:5">
      <c r="A171" t="s">
        <v>186</v>
      </c>
      <c r="B171" t="s">
        <v>191</v>
      </c>
      <c r="C171" s="3">
        <v>23940</v>
      </c>
      <c r="D171" s="3">
        <v>0</v>
      </c>
      <c r="E171" s="3">
        <v>23940</v>
      </c>
    </row>
    <row r="172" spans="1:5">
      <c r="A172" t="s">
        <v>186</v>
      </c>
      <c r="B172" t="s">
        <v>192</v>
      </c>
      <c r="C172" s="3">
        <v>33250</v>
      </c>
      <c r="D172" s="3">
        <v>0</v>
      </c>
      <c r="E172" s="3">
        <v>33250</v>
      </c>
    </row>
    <row r="173" spans="1:5">
      <c r="A173" t="s">
        <v>186</v>
      </c>
      <c r="B173" t="s">
        <v>193</v>
      </c>
      <c r="C173" s="3">
        <v>8379</v>
      </c>
      <c r="D173" s="3">
        <v>0</v>
      </c>
      <c r="E173" s="3">
        <v>8379</v>
      </c>
    </row>
    <row r="174" spans="1:5">
      <c r="A174" t="s">
        <v>186</v>
      </c>
      <c r="B174" t="s">
        <v>194</v>
      </c>
      <c r="C174" s="3">
        <v>66234</v>
      </c>
      <c r="D174" s="3">
        <v>0</v>
      </c>
      <c r="E174" s="3">
        <v>66234</v>
      </c>
    </row>
    <row r="175" spans="1:5">
      <c r="A175" t="s">
        <v>186</v>
      </c>
      <c r="B175" t="s">
        <v>195</v>
      </c>
      <c r="C175" s="3">
        <v>28994</v>
      </c>
      <c r="D175" s="3">
        <v>0</v>
      </c>
      <c r="E175" s="3">
        <v>28994</v>
      </c>
    </row>
    <row r="176" spans="1:5">
      <c r="A176" t="s">
        <v>186</v>
      </c>
      <c r="B176" t="s">
        <v>196</v>
      </c>
      <c r="C176" s="3">
        <v>22610</v>
      </c>
      <c r="D176" s="3">
        <v>0</v>
      </c>
      <c r="E176" s="3">
        <v>22610</v>
      </c>
    </row>
    <row r="177" spans="1:5">
      <c r="A177" t="s">
        <v>186</v>
      </c>
      <c r="B177" t="s">
        <v>197</v>
      </c>
      <c r="C177" s="3">
        <v>319200</v>
      </c>
      <c r="D177" s="3">
        <v>0</v>
      </c>
      <c r="E177" s="3">
        <v>319200</v>
      </c>
    </row>
    <row r="178" spans="1:5">
      <c r="A178" t="s">
        <v>186</v>
      </c>
      <c r="B178" t="s">
        <v>198</v>
      </c>
      <c r="C178" s="3">
        <v>319200</v>
      </c>
      <c r="D178" s="3">
        <v>0</v>
      </c>
      <c r="E178" s="3">
        <v>319200</v>
      </c>
    </row>
    <row r="179" spans="1:5">
      <c r="A179" t="s">
        <v>186</v>
      </c>
      <c r="B179" t="s">
        <v>199</v>
      </c>
      <c r="C179" s="3">
        <v>15960</v>
      </c>
      <c r="D179" s="3">
        <v>0</v>
      </c>
      <c r="E179" s="3">
        <v>15960</v>
      </c>
    </row>
    <row r="180" spans="1:5">
      <c r="A180" t="s">
        <v>186</v>
      </c>
      <c r="B180" t="s">
        <v>200</v>
      </c>
      <c r="C180" s="3">
        <v>22610</v>
      </c>
      <c r="D180" s="3">
        <v>0</v>
      </c>
      <c r="E180" s="3">
        <v>22610</v>
      </c>
    </row>
    <row r="181" spans="1:5">
      <c r="A181" t="s">
        <v>186</v>
      </c>
      <c r="B181" t="s">
        <v>201</v>
      </c>
      <c r="C181" s="3">
        <v>13300</v>
      </c>
      <c r="D181" s="3">
        <v>0</v>
      </c>
      <c r="E181" s="3">
        <v>13300</v>
      </c>
    </row>
    <row r="182" spans="1:5">
      <c r="A182" t="s">
        <v>186</v>
      </c>
      <c r="B182" t="s">
        <v>202</v>
      </c>
      <c r="C182" s="3">
        <v>26600</v>
      </c>
      <c r="D182" s="3">
        <v>0</v>
      </c>
      <c r="E182" s="3">
        <v>26600</v>
      </c>
    </row>
    <row r="183" spans="1:5">
      <c r="A183" t="s">
        <v>186</v>
      </c>
      <c r="B183" t="s">
        <v>203</v>
      </c>
      <c r="C183" s="3">
        <v>59052</v>
      </c>
      <c r="D183" s="3">
        <v>0</v>
      </c>
      <c r="E183" s="3">
        <v>59052</v>
      </c>
    </row>
    <row r="184" spans="1:5">
      <c r="A184" t="s">
        <v>186</v>
      </c>
      <c r="B184" t="s">
        <v>204</v>
      </c>
      <c r="C184" s="3">
        <v>23275</v>
      </c>
      <c r="D184" s="3">
        <v>0</v>
      </c>
      <c r="E184" s="3">
        <v>23275</v>
      </c>
    </row>
    <row r="185" spans="1:5">
      <c r="A185" t="s">
        <v>186</v>
      </c>
      <c r="B185" t="s">
        <v>205</v>
      </c>
      <c r="C185" s="3">
        <v>45220</v>
      </c>
      <c r="D185" s="3">
        <v>0</v>
      </c>
      <c r="E185" s="3">
        <v>45220</v>
      </c>
    </row>
    <row r="186" spans="1:5">
      <c r="A186" t="s">
        <v>186</v>
      </c>
      <c r="B186" t="s">
        <v>206</v>
      </c>
      <c r="C186" s="3">
        <v>158270</v>
      </c>
      <c r="D186" s="3">
        <v>0</v>
      </c>
      <c r="E186" s="3">
        <v>158270</v>
      </c>
    </row>
    <row r="187" spans="1:5">
      <c r="A187" t="s">
        <v>186</v>
      </c>
      <c r="B187" t="s">
        <v>207</v>
      </c>
      <c r="C187" s="3">
        <v>65569</v>
      </c>
      <c r="D187" s="3">
        <v>0</v>
      </c>
      <c r="E187" s="3">
        <v>65569</v>
      </c>
    </row>
    <row r="188" spans="1:5">
      <c r="A188" t="s">
        <v>186</v>
      </c>
      <c r="B188" t="s">
        <v>208</v>
      </c>
      <c r="C188" s="3">
        <v>0</v>
      </c>
      <c r="D188" s="3">
        <v>587587.787</v>
      </c>
      <c r="E188" s="3">
        <v>587587.787</v>
      </c>
    </row>
    <row r="189" spans="1:5">
      <c r="A189" t="s">
        <v>186</v>
      </c>
      <c r="B189" t="s">
        <v>209</v>
      </c>
      <c r="C189" s="3">
        <v>164920</v>
      </c>
      <c r="D189" s="3">
        <v>0</v>
      </c>
      <c r="E189" s="3">
        <v>164920</v>
      </c>
    </row>
    <row r="190" spans="1:5">
      <c r="A190" t="s">
        <v>186</v>
      </c>
      <c r="B190" t="s">
        <v>209</v>
      </c>
      <c r="C190" s="3">
        <v>23.142</v>
      </c>
      <c r="D190" s="3">
        <v>0</v>
      </c>
      <c r="E190" s="3">
        <v>23.142</v>
      </c>
    </row>
    <row r="191" spans="1:5">
      <c r="A191" t="s">
        <v>186</v>
      </c>
      <c r="B191" t="s">
        <v>209</v>
      </c>
      <c r="C191" s="3">
        <v>3.458</v>
      </c>
      <c r="D191" s="3">
        <v>0</v>
      </c>
      <c r="E191" s="3">
        <v>3.458</v>
      </c>
    </row>
    <row r="192" spans="1:5">
      <c r="A192" t="s">
        <v>186</v>
      </c>
      <c r="B192" t="s">
        <v>210</v>
      </c>
      <c r="C192" s="3">
        <v>0</v>
      </c>
      <c r="D192" s="3">
        <v>3927.7161</v>
      </c>
      <c r="E192" s="3">
        <v>3927.7161</v>
      </c>
    </row>
    <row r="193" spans="1:5">
      <c r="A193" t="s">
        <v>211</v>
      </c>
      <c r="B193" t="s">
        <v>212</v>
      </c>
      <c r="C193" s="3">
        <v>266000</v>
      </c>
      <c r="D193" s="3">
        <v>0</v>
      </c>
      <c r="E193" s="3">
        <v>266000</v>
      </c>
    </row>
    <row r="194" spans="1:5">
      <c r="A194" t="s">
        <v>213</v>
      </c>
      <c r="B194" t="s">
        <v>214</v>
      </c>
      <c r="C194" s="3">
        <v>0</v>
      </c>
      <c r="D194" s="3">
        <v>925186.0703</v>
      </c>
      <c r="E194" s="3">
        <v>925186.0703</v>
      </c>
    </row>
    <row r="195" spans="1:5">
      <c r="A195" t="s">
        <v>213</v>
      </c>
      <c r="B195" t="s">
        <v>215</v>
      </c>
      <c r="C195" s="3">
        <v>0</v>
      </c>
      <c r="D195" s="3">
        <v>702135.3974</v>
      </c>
      <c r="E195" s="3">
        <v>702135.3974</v>
      </c>
    </row>
    <row r="196" spans="1:5">
      <c r="A196" t="s">
        <v>213</v>
      </c>
      <c r="B196" t="s">
        <v>216</v>
      </c>
      <c r="C196" s="3">
        <v>172900</v>
      </c>
      <c r="D196" s="3">
        <v>0</v>
      </c>
      <c r="E196" s="3">
        <v>172900</v>
      </c>
    </row>
    <row r="197" spans="1:5">
      <c r="A197" t="s">
        <v>213</v>
      </c>
      <c r="B197" t="s">
        <v>217</v>
      </c>
      <c r="C197" s="3">
        <v>0</v>
      </c>
      <c r="D197" s="3">
        <v>111724.0489</v>
      </c>
      <c r="E197" s="3">
        <v>111724.0489</v>
      </c>
    </row>
    <row r="198" spans="1:5">
      <c r="A198" t="s">
        <v>213</v>
      </c>
      <c r="B198" t="s">
        <v>218</v>
      </c>
      <c r="C198" s="3">
        <v>0</v>
      </c>
      <c r="D198" s="3">
        <v>227.3939</v>
      </c>
      <c r="E198" s="3">
        <v>227.3939</v>
      </c>
    </row>
    <row r="199" spans="1:5">
      <c r="A199" t="s">
        <v>213</v>
      </c>
      <c r="B199" t="s">
        <v>219</v>
      </c>
      <c r="C199" s="3">
        <v>0</v>
      </c>
      <c r="D199" s="3">
        <v>36432.3366</v>
      </c>
      <c r="E199" s="3">
        <v>36432.3366</v>
      </c>
    </row>
    <row r="200" spans="1:5">
      <c r="A200" t="s">
        <v>213</v>
      </c>
      <c r="B200" t="s">
        <v>220</v>
      </c>
      <c r="C200" s="3">
        <v>103740</v>
      </c>
      <c r="D200" s="3">
        <v>0</v>
      </c>
      <c r="E200" s="3">
        <v>103740</v>
      </c>
    </row>
    <row r="201" spans="1:5">
      <c r="A201" t="s">
        <v>213</v>
      </c>
      <c r="B201" t="s">
        <v>221</v>
      </c>
      <c r="C201" s="3">
        <v>1489195.68</v>
      </c>
      <c r="D201" s="3">
        <v>0</v>
      </c>
      <c r="E201" s="3">
        <v>1489195.68</v>
      </c>
    </row>
    <row r="202" spans="1:5">
      <c r="A202" t="s">
        <v>222</v>
      </c>
      <c r="B202" t="s">
        <v>223</v>
      </c>
      <c r="C202" s="3">
        <v>0</v>
      </c>
      <c r="D202" s="3">
        <v>970878.8872</v>
      </c>
      <c r="E202" s="3">
        <v>970878.8872</v>
      </c>
    </row>
    <row r="203" spans="1:5">
      <c r="A203" t="s">
        <v>222</v>
      </c>
      <c r="B203" t="s">
        <v>224</v>
      </c>
      <c r="C203" s="3">
        <v>0</v>
      </c>
      <c r="D203" s="3">
        <v>37515.2283</v>
      </c>
      <c r="E203" s="3">
        <v>37515.2283</v>
      </c>
    </row>
    <row r="204" spans="1:5">
      <c r="A204" t="s">
        <v>225</v>
      </c>
      <c r="B204" t="s">
        <v>226</v>
      </c>
      <c r="C204" s="3">
        <v>0</v>
      </c>
      <c r="D204" s="3">
        <v>764046.4642</v>
      </c>
      <c r="E204" s="3">
        <v>764046.4642</v>
      </c>
    </row>
    <row r="205" spans="1:5">
      <c r="A205" t="s">
        <v>227</v>
      </c>
      <c r="B205" t="s">
        <v>228</v>
      </c>
      <c r="C205" s="3">
        <v>0</v>
      </c>
      <c r="D205" s="3">
        <v>762751.9543</v>
      </c>
      <c r="E205" s="3">
        <v>762751.9543</v>
      </c>
    </row>
    <row r="206" spans="1:5">
      <c r="A206" t="s">
        <v>227</v>
      </c>
      <c r="B206" t="s">
        <v>229</v>
      </c>
      <c r="C206" s="3">
        <v>0</v>
      </c>
      <c r="D206" s="3">
        <v>7501.6161</v>
      </c>
      <c r="E206" s="3">
        <v>7501.6161</v>
      </c>
    </row>
    <row r="207" spans="1:5">
      <c r="A207" t="s">
        <v>230</v>
      </c>
      <c r="B207" t="s">
        <v>231</v>
      </c>
      <c r="C207" s="3">
        <v>0</v>
      </c>
      <c r="D207" s="3">
        <v>701527.7622</v>
      </c>
      <c r="E207" s="3">
        <v>701527.7622</v>
      </c>
    </row>
    <row r="208" spans="1:5">
      <c r="A208" t="s">
        <v>230</v>
      </c>
      <c r="B208" t="s">
        <v>232</v>
      </c>
      <c r="C208" s="3">
        <v>89110</v>
      </c>
      <c r="D208" s="3">
        <v>0</v>
      </c>
      <c r="E208" s="3">
        <v>89110</v>
      </c>
    </row>
    <row r="209" spans="1:5">
      <c r="A209" t="s">
        <v>230</v>
      </c>
      <c r="B209" t="s">
        <v>233</v>
      </c>
      <c r="C209" s="3">
        <v>66500</v>
      </c>
      <c r="D209" s="3">
        <v>0</v>
      </c>
      <c r="E209" s="3">
        <v>66500</v>
      </c>
    </row>
    <row r="210" spans="1:5">
      <c r="A210" t="s">
        <v>230</v>
      </c>
      <c r="B210" t="s">
        <v>234</v>
      </c>
      <c r="C210" s="3">
        <v>1041299.56</v>
      </c>
      <c r="D210" s="3">
        <v>0</v>
      </c>
      <c r="E210" s="3">
        <v>1041299.56</v>
      </c>
    </row>
    <row r="211" spans="1:5">
      <c r="A211" t="s">
        <v>230</v>
      </c>
      <c r="B211" t="s">
        <v>235</v>
      </c>
      <c r="C211" s="3">
        <v>2660000</v>
      </c>
      <c r="D211" s="3">
        <v>0</v>
      </c>
      <c r="E211" s="3">
        <v>2660000</v>
      </c>
    </row>
    <row r="212" spans="1:5">
      <c r="A212" t="s">
        <v>230</v>
      </c>
      <c r="B212" t="s">
        <v>236</v>
      </c>
      <c r="C212" s="3">
        <v>0</v>
      </c>
      <c r="D212" s="3">
        <v>1783.3761</v>
      </c>
      <c r="E212" s="3">
        <v>1783.3761</v>
      </c>
    </row>
    <row r="213" spans="1:5">
      <c r="A213" t="s">
        <v>230</v>
      </c>
      <c r="B213" t="s">
        <v>237</v>
      </c>
      <c r="C213" s="3">
        <v>0</v>
      </c>
      <c r="D213" s="3">
        <v>162.4139</v>
      </c>
      <c r="E213" s="3">
        <v>162.4139</v>
      </c>
    </row>
    <row r="214" spans="1:5">
      <c r="A214" t="s">
        <v>230</v>
      </c>
      <c r="B214" t="s">
        <v>238</v>
      </c>
      <c r="C214" s="3">
        <v>35112</v>
      </c>
      <c r="D214" s="3">
        <v>0</v>
      </c>
      <c r="E214" s="3">
        <v>35112</v>
      </c>
    </row>
    <row r="215" spans="1:5">
      <c r="A215" t="s">
        <v>230</v>
      </c>
      <c r="B215" t="s">
        <v>238</v>
      </c>
      <c r="C215" s="3">
        <v>23.142</v>
      </c>
      <c r="D215" s="3">
        <v>0</v>
      </c>
      <c r="E215" s="3">
        <v>23.142</v>
      </c>
    </row>
    <row r="216" spans="1:5">
      <c r="A216" t="s">
        <v>230</v>
      </c>
      <c r="B216" t="s">
        <v>238</v>
      </c>
      <c r="C216" s="3">
        <v>3.458</v>
      </c>
      <c r="D216" s="3">
        <v>0</v>
      </c>
      <c r="E216" s="3">
        <v>3.458</v>
      </c>
    </row>
    <row r="217" spans="1:5">
      <c r="A217" t="s">
        <v>239</v>
      </c>
      <c r="B217" t="s">
        <v>240</v>
      </c>
      <c r="C217" s="3">
        <v>0</v>
      </c>
      <c r="D217" s="3">
        <v>370297.1579</v>
      </c>
      <c r="E217" s="3">
        <v>370297.1579</v>
      </c>
    </row>
    <row r="218" spans="1:5">
      <c r="A218" t="s">
        <v>239</v>
      </c>
      <c r="B218" t="s">
        <v>241</v>
      </c>
      <c r="C218" s="3">
        <v>0</v>
      </c>
      <c r="D218" s="3">
        <v>705104.9112</v>
      </c>
      <c r="E218" s="3">
        <v>705104.9112</v>
      </c>
    </row>
    <row r="219" spans="1:5">
      <c r="A219" t="s">
        <v>239</v>
      </c>
      <c r="B219" t="s">
        <v>242</v>
      </c>
      <c r="C219" s="3">
        <v>0</v>
      </c>
      <c r="D219" s="3">
        <v>2347149.8</v>
      </c>
      <c r="E219" s="3">
        <v>2347149.8</v>
      </c>
    </row>
    <row r="220" spans="1:5">
      <c r="A220" t="s">
        <v>239</v>
      </c>
      <c r="B220" t="s">
        <v>243</v>
      </c>
      <c r="C220" s="3">
        <v>0</v>
      </c>
      <c r="D220" s="3">
        <v>2836485.3</v>
      </c>
      <c r="E220" s="3">
        <v>2836485.3</v>
      </c>
    </row>
    <row r="221" spans="1:5">
      <c r="A221" t="s">
        <v>239</v>
      </c>
      <c r="B221" t="s">
        <v>244</v>
      </c>
      <c r="C221" s="3">
        <v>2493750</v>
      </c>
      <c r="D221" s="3">
        <v>0</v>
      </c>
      <c r="E221" s="3">
        <v>2493750</v>
      </c>
    </row>
    <row r="222" spans="1:5">
      <c r="A222" t="s">
        <v>239</v>
      </c>
      <c r="B222" t="s">
        <v>245</v>
      </c>
      <c r="C222" s="3">
        <v>0</v>
      </c>
      <c r="D222" s="3">
        <v>162.4139</v>
      </c>
      <c r="E222" s="3">
        <v>162.4139</v>
      </c>
    </row>
    <row r="223" spans="1:5">
      <c r="A223" t="s">
        <v>239</v>
      </c>
      <c r="B223" t="s">
        <v>246</v>
      </c>
      <c r="C223" s="3">
        <v>798000</v>
      </c>
      <c r="D223" s="3">
        <v>0</v>
      </c>
      <c r="E223" s="3">
        <v>798000</v>
      </c>
    </row>
    <row r="224" spans="1:5">
      <c r="A224" t="s">
        <v>247</v>
      </c>
      <c r="B224" t="s">
        <v>248</v>
      </c>
      <c r="C224" s="3">
        <v>22610</v>
      </c>
      <c r="D224" s="3">
        <v>0</v>
      </c>
      <c r="E224" s="3">
        <v>22610</v>
      </c>
    </row>
    <row r="225" spans="1:5">
      <c r="A225" t="s">
        <v>247</v>
      </c>
      <c r="B225" t="s">
        <v>249</v>
      </c>
      <c r="C225" s="3">
        <v>15960</v>
      </c>
      <c r="D225" s="3">
        <v>0</v>
      </c>
      <c r="E225" s="3">
        <v>15960</v>
      </c>
    </row>
    <row r="226" spans="1:5">
      <c r="A226" t="s">
        <v>247</v>
      </c>
      <c r="B226" t="s">
        <v>250</v>
      </c>
      <c r="C226" s="3">
        <v>319200</v>
      </c>
      <c r="D226" s="3">
        <v>0</v>
      </c>
      <c r="E226" s="3">
        <v>319200</v>
      </c>
    </row>
    <row r="227" spans="1:5">
      <c r="A227" t="s">
        <v>247</v>
      </c>
      <c r="B227" t="s">
        <v>251</v>
      </c>
      <c r="C227" s="3">
        <v>319200</v>
      </c>
      <c r="D227" s="3">
        <v>0</v>
      </c>
      <c r="E227" s="3">
        <v>319200</v>
      </c>
    </row>
    <row r="228" spans="1:5">
      <c r="A228" t="s">
        <v>247</v>
      </c>
      <c r="B228" t="s">
        <v>252</v>
      </c>
      <c r="C228" s="3">
        <v>26600</v>
      </c>
      <c r="D228" s="3">
        <v>0</v>
      </c>
      <c r="E228" s="3">
        <v>26600</v>
      </c>
    </row>
    <row r="229" spans="1:5">
      <c r="A229" t="s">
        <v>247</v>
      </c>
      <c r="B229" t="s">
        <v>253</v>
      </c>
      <c r="C229" s="3">
        <v>59052</v>
      </c>
      <c r="D229" s="3">
        <v>0</v>
      </c>
      <c r="E229" s="3">
        <v>59052</v>
      </c>
    </row>
    <row r="230" spans="1:5">
      <c r="A230" t="s">
        <v>247</v>
      </c>
      <c r="B230" t="s">
        <v>254</v>
      </c>
      <c r="C230" s="3">
        <v>23275</v>
      </c>
      <c r="D230" s="3">
        <v>0</v>
      </c>
      <c r="E230" s="3">
        <v>23275</v>
      </c>
    </row>
    <row r="231" spans="1:5">
      <c r="A231" t="s">
        <v>247</v>
      </c>
      <c r="B231" t="s">
        <v>255</v>
      </c>
      <c r="C231" s="3">
        <v>158270</v>
      </c>
      <c r="D231" s="3">
        <v>0</v>
      </c>
      <c r="E231" s="3">
        <v>158270</v>
      </c>
    </row>
    <row r="232" spans="1:5">
      <c r="A232" t="s">
        <v>247</v>
      </c>
      <c r="B232" t="s">
        <v>256</v>
      </c>
      <c r="C232" s="3">
        <v>133000</v>
      </c>
      <c r="D232" s="3">
        <v>0</v>
      </c>
      <c r="E232" s="3">
        <v>133000</v>
      </c>
    </row>
    <row r="233" spans="1:5">
      <c r="A233" t="s">
        <v>247</v>
      </c>
      <c r="B233" t="s">
        <v>257</v>
      </c>
      <c r="C233" s="3">
        <v>133000</v>
      </c>
      <c r="D233" s="3">
        <v>0</v>
      </c>
      <c r="E233" s="3">
        <v>133000</v>
      </c>
    </row>
    <row r="234" spans="1:5">
      <c r="A234" t="s">
        <v>247</v>
      </c>
      <c r="B234" t="s">
        <v>258</v>
      </c>
      <c r="C234" s="3">
        <v>78470</v>
      </c>
      <c r="D234" s="3">
        <v>0</v>
      </c>
      <c r="E234" s="3">
        <v>78470</v>
      </c>
    </row>
    <row r="235" spans="1:5">
      <c r="A235" t="s">
        <v>247</v>
      </c>
      <c r="B235" t="s">
        <v>259</v>
      </c>
      <c r="C235" s="3">
        <v>26600</v>
      </c>
      <c r="D235" s="3">
        <v>0</v>
      </c>
      <c r="E235" s="3">
        <v>26600</v>
      </c>
    </row>
    <row r="236" spans="1:5">
      <c r="A236" t="s">
        <v>247</v>
      </c>
      <c r="B236" t="s">
        <v>260</v>
      </c>
      <c r="C236" s="3">
        <v>47215</v>
      </c>
      <c r="D236" s="3">
        <v>0</v>
      </c>
      <c r="E236" s="3">
        <v>47215</v>
      </c>
    </row>
    <row r="237" spans="1:5">
      <c r="A237" t="s">
        <v>247</v>
      </c>
      <c r="B237" t="s">
        <v>261</v>
      </c>
      <c r="C237" s="3">
        <v>111720</v>
      </c>
      <c r="D237" s="3">
        <v>0</v>
      </c>
      <c r="E237" s="3">
        <v>111720</v>
      </c>
    </row>
    <row r="238" spans="1:5">
      <c r="A238" t="s">
        <v>247</v>
      </c>
      <c r="B238" t="s">
        <v>262</v>
      </c>
      <c r="C238" s="3">
        <v>23940</v>
      </c>
      <c r="D238" s="3">
        <v>0</v>
      </c>
      <c r="E238" s="3">
        <v>23940</v>
      </c>
    </row>
    <row r="239" spans="1:5">
      <c r="A239" t="s">
        <v>247</v>
      </c>
      <c r="B239" t="s">
        <v>263</v>
      </c>
      <c r="C239" s="3">
        <v>98420</v>
      </c>
      <c r="D239" s="3">
        <v>0</v>
      </c>
      <c r="E239" s="3">
        <v>98420</v>
      </c>
    </row>
    <row r="240" spans="1:5">
      <c r="A240" t="s">
        <v>247</v>
      </c>
      <c r="B240" t="s">
        <v>264</v>
      </c>
      <c r="C240" s="3">
        <v>33250</v>
      </c>
      <c r="D240" s="3">
        <v>0</v>
      </c>
      <c r="E240" s="3">
        <v>33250</v>
      </c>
    </row>
    <row r="241" spans="1:5">
      <c r="A241" t="s">
        <v>247</v>
      </c>
      <c r="B241" t="s">
        <v>265</v>
      </c>
      <c r="C241" s="3">
        <v>65569</v>
      </c>
      <c r="D241" s="3">
        <v>0</v>
      </c>
      <c r="E241" s="3">
        <v>65569</v>
      </c>
    </row>
    <row r="242" spans="1:5">
      <c r="A242" t="s">
        <v>247</v>
      </c>
      <c r="B242" t="s">
        <v>266</v>
      </c>
      <c r="C242" s="3">
        <v>0</v>
      </c>
      <c r="D242" s="3">
        <v>496678.7815</v>
      </c>
      <c r="E242" s="3">
        <v>496678.7815</v>
      </c>
    </row>
    <row r="243" spans="1:5">
      <c r="A243" t="s">
        <v>247</v>
      </c>
      <c r="B243" t="s">
        <v>267</v>
      </c>
      <c r="C243" s="3">
        <v>0</v>
      </c>
      <c r="D243" s="3">
        <v>20006.6922</v>
      </c>
      <c r="E243" s="3">
        <v>20006.6922</v>
      </c>
    </row>
    <row r="244" spans="1:5">
      <c r="A244" t="s">
        <v>247</v>
      </c>
      <c r="B244" t="s">
        <v>268</v>
      </c>
      <c r="C244" s="3">
        <v>22610</v>
      </c>
      <c r="D244" s="3">
        <v>0</v>
      </c>
      <c r="E244" s="3">
        <v>22610</v>
      </c>
    </row>
    <row r="245" spans="1:5">
      <c r="A245" t="s">
        <v>247</v>
      </c>
      <c r="B245" t="s">
        <v>268</v>
      </c>
      <c r="C245" s="3">
        <v>23.142</v>
      </c>
      <c r="D245" s="3">
        <v>0</v>
      </c>
      <c r="E245" s="3">
        <v>23.142</v>
      </c>
    </row>
    <row r="246" spans="1:5">
      <c r="A246" t="s">
        <v>247</v>
      </c>
      <c r="B246" t="s">
        <v>268</v>
      </c>
      <c r="C246" s="3">
        <v>3.458</v>
      </c>
      <c r="D246" s="3">
        <v>0</v>
      </c>
      <c r="E246" s="3">
        <v>3.458</v>
      </c>
    </row>
    <row r="247" spans="1:5">
      <c r="A247" t="s">
        <v>247</v>
      </c>
      <c r="B247" t="s">
        <v>269</v>
      </c>
      <c r="C247" s="3">
        <v>0</v>
      </c>
      <c r="D247" s="3">
        <v>1263500</v>
      </c>
      <c r="E247" s="3">
        <v>1263500</v>
      </c>
    </row>
    <row r="248" spans="1:5">
      <c r="A248" t="s">
        <v>247</v>
      </c>
      <c r="B248" t="s">
        <v>270</v>
      </c>
      <c r="C248" s="3">
        <v>414960</v>
      </c>
      <c r="D248" s="3">
        <v>0</v>
      </c>
      <c r="E248" s="3">
        <v>414960</v>
      </c>
    </row>
    <row r="249" spans="1:5">
      <c r="A249" t="s">
        <v>247</v>
      </c>
      <c r="B249" t="s">
        <v>271</v>
      </c>
      <c r="C249" s="3">
        <v>0</v>
      </c>
      <c r="D249" s="3">
        <v>-1263500</v>
      </c>
      <c r="E249" s="3">
        <v>-1263500</v>
      </c>
    </row>
    <row r="250" spans="1:5">
      <c r="A250" t="s">
        <v>247</v>
      </c>
      <c r="B250" t="s">
        <v>272</v>
      </c>
      <c r="C250" s="3">
        <v>931000</v>
      </c>
      <c r="D250" s="3">
        <v>0</v>
      </c>
      <c r="E250" s="3">
        <v>931000</v>
      </c>
    </row>
    <row r="251" spans="1:5">
      <c r="A251" t="s">
        <v>247</v>
      </c>
      <c r="B251" t="s">
        <v>273</v>
      </c>
      <c r="C251" s="3">
        <v>0</v>
      </c>
      <c r="D251" s="3">
        <v>12505.0761</v>
      </c>
      <c r="E251" s="3">
        <v>12505.0761</v>
      </c>
    </row>
    <row r="252" spans="1:5">
      <c r="A252" t="s">
        <v>274</v>
      </c>
      <c r="B252" t="s">
        <v>275</v>
      </c>
      <c r="C252" s="3">
        <v>0</v>
      </c>
      <c r="D252" s="3">
        <v>765111.9</v>
      </c>
      <c r="E252" s="3">
        <v>765111.9</v>
      </c>
    </row>
    <row r="253" spans="1:5">
      <c r="A253" t="s">
        <v>274</v>
      </c>
      <c r="B253" t="s">
        <v>276</v>
      </c>
      <c r="C253" s="3">
        <v>0</v>
      </c>
      <c r="D253" s="3">
        <v>898380.51</v>
      </c>
      <c r="E253" s="3">
        <v>898380.51</v>
      </c>
    </row>
    <row r="254" spans="1:5">
      <c r="A254" t="s">
        <v>274</v>
      </c>
      <c r="B254" t="s">
        <v>277</v>
      </c>
      <c r="C254" s="3">
        <v>0</v>
      </c>
      <c r="D254" s="3">
        <v>96777.6576</v>
      </c>
      <c r="E254" s="3">
        <v>96777.6576</v>
      </c>
    </row>
    <row r="255" spans="1:5">
      <c r="A255" t="s">
        <v>274</v>
      </c>
      <c r="B255" t="s">
        <v>278</v>
      </c>
      <c r="C255" s="3">
        <v>0</v>
      </c>
      <c r="D255" s="3">
        <v>469669.5468</v>
      </c>
      <c r="E255" s="3">
        <v>469669.5468</v>
      </c>
    </row>
    <row r="256" spans="1:5">
      <c r="A256" t="s">
        <v>274</v>
      </c>
      <c r="B256" t="s">
        <v>279</v>
      </c>
      <c r="C256" s="3">
        <v>0</v>
      </c>
      <c r="D256" s="3">
        <v>464.2968</v>
      </c>
      <c r="E256" s="3">
        <v>464.2968</v>
      </c>
    </row>
    <row r="257" spans="1:5">
      <c r="A257" t="s">
        <v>274</v>
      </c>
      <c r="B257" t="s">
        <v>280</v>
      </c>
      <c r="C257" s="3">
        <v>0</v>
      </c>
      <c r="D257" s="3">
        <v>173346.7428</v>
      </c>
      <c r="E257" s="3">
        <v>173346.7428</v>
      </c>
    </row>
    <row r="258" spans="1:5">
      <c r="A258" t="s">
        <v>274</v>
      </c>
      <c r="B258" t="s">
        <v>281</v>
      </c>
      <c r="C258" s="3">
        <v>0</v>
      </c>
      <c r="D258" s="3">
        <v>11228.2632</v>
      </c>
      <c r="E258" s="3">
        <v>11228.2632</v>
      </c>
    </row>
    <row r="259" spans="1:5">
      <c r="A259" t="s">
        <v>282</v>
      </c>
      <c r="B259" t="s">
        <v>283</v>
      </c>
      <c r="C259" s="3">
        <v>0</v>
      </c>
      <c r="D259" s="3">
        <v>108544.0572</v>
      </c>
      <c r="E259" s="3">
        <v>108544.0572</v>
      </c>
    </row>
    <row r="260" spans="1:5">
      <c r="A260" t="s">
        <v>284</v>
      </c>
      <c r="B260" t="s">
        <v>285</v>
      </c>
      <c r="C260" s="3">
        <v>0</v>
      </c>
      <c r="D260" s="3">
        <v>786732.7644</v>
      </c>
      <c r="E260" s="3">
        <v>786732.7644</v>
      </c>
    </row>
    <row r="261" spans="1:5">
      <c r="A261" t="s">
        <v>286</v>
      </c>
      <c r="B261" t="s">
        <v>287</v>
      </c>
      <c r="C261" s="3">
        <v>0</v>
      </c>
      <c r="D261" s="3">
        <v>928739.886</v>
      </c>
      <c r="E261" s="3">
        <v>928739.886</v>
      </c>
    </row>
    <row r="262" spans="1:5">
      <c r="A262" t="s">
        <v>288</v>
      </c>
      <c r="B262" t="s">
        <v>289</v>
      </c>
      <c r="C262" s="3">
        <v>0</v>
      </c>
      <c r="D262" s="3">
        <v>749274.5184</v>
      </c>
      <c r="E262" s="3">
        <v>749274.5184</v>
      </c>
    </row>
    <row r="263" spans="1:5">
      <c r="A263" t="s">
        <v>288</v>
      </c>
      <c r="B263" t="s">
        <v>290</v>
      </c>
      <c r="C263" s="3">
        <v>0</v>
      </c>
      <c r="D263" s="3">
        <v>785100.7596</v>
      </c>
      <c r="E263" s="3">
        <v>785100.7596</v>
      </c>
    </row>
    <row r="264" spans="1:5">
      <c r="A264" t="s">
        <v>288</v>
      </c>
      <c r="B264" t="s">
        <v>291</v>
      </c>
      <c r="C264" s="3">
        <v>0</v>
      </c>
      <c r="D264" s="3">
        <v>31867.386</v>
      </c>
      <c r="E264" s="3">
        <v>31867.386</v>
      </c>
    </row>
    <row r="265" spans="1:5">
      <c r="A265" t="s">
        <v>288</v>
      </c>
      <c r="B265" t="s">
        <v>292</v>
      </c>
      <c r="C265" s="3">
        <v>0</v>
      </c>
      <c r="D265" s="3">
        <v>35748.5832</v>
      </c>
      <c r="E265" s="3">
        <v>35748.5832</v>
      </c>
    </row>
    <row r="266" spans="1:5">
      <c r="A266" t="s">
        <v>293</v>
      </c>
      <c r="B266" t="s">
        <v>294</v>
      </c>
      <c r="C266" s="3">
        <v>0</v>
      </c>
      <c r="D266" s="3">
        <v>829660.662</v>
      </c>
      <c r="E266" s="3">
        <v>829660.662</v>
      </c>
    </row>
    <row r="267" spans="1:5">
      <c r="A267" t="s">
        <v>293</v>
      </c>
      <c r="B267" t="s">
        <v>295</v>
      </c>
      <c r="C267" s="3">
        <v>0</v>
      </c>
      <c r="D267" s="3">
        <v>464.3484</v>
      </c>
      <c r="E267" s="3">
        <v>464.3484</v>
      </c>
    </row>
    <row r="268" spans="1:5">
      <c r="A268" t="s">
        <v>296</v>
      </c>
      <c r="B268" t="s">
        <v>297</v>
      </c>
      <c r="C268" s="3">
        <v>0</v>
      </c>
      <c r="D268" s="3">
        <v>1608586.6044</v>
      </c>
      <c r="E268" s="3">
        <v>1608586.6044</v>
      </c>
    </row>
    <row r="269" spans="1:5">
      <c r="A269" t="s">
        <v>296</v>
      </c>
      <c r="B269" t="s">
        <v>298</v>
      </c>
      <c r="C269" s="3">
        <v>0</v>
      </c>
      <c r="D269" s="3">
        <v>18885.7548</v>
      </c>
      <c r="E269" s="3">
        <v>18885.7548</v>
      </c>
    </row>
    <row r="270" spans="1:5">
      <c r="A270" t="s">
        <v>299</v>
      </c>
      <c r="B270" t="s">
        <v>300</v>
      </c>
      <c r="C270" s="3">
        <v>0</v>
      </c>
      <c r="D270" s="3">
        <v>773263.8228</v>
      </c>
      <c r="E270" s="3">
        <v>773263.8228</v>
      </c>
    </row>
    <row r="271" spans="1:5">
      <c r="A271" t="s">
        <v>301</v>
      </c>
      <c r="B271" t="s">
        <v>302</v>
      </c>
      <c r="C271" s="3">
        <v>3338520</v>
      </c>
      <c r="D271" s="3">
        <v>0</v>
      </c>
      <c r="E271" s="3">
        <v>3338520</v>
      </c>
    </row>
    <row r="272" spans="1:5">
      <c r="A272" t="s">
        <v>301</v>
      </c>
      <c r="B272" t="s">
        <v>303</v>
      </c>
      <c r="C272" s="3">
        <v>30960</v>
      </c>
      <c r="D272" s="3">
        <v>0</v>
      </c>
      <c r="E272" s="3">
        <v>30960</v>
      </c>
    </row>
    <row r="273" spans="1:5">
      <c r="A273" t="s">
        <v>301</v>
      </c>
      <c r="B273" t="s">
        <v>304</v>
      </c>
      <c r="C273" s="3">
        <v>43860</v>
      </c>
      <c r="D273" s="3">
        <v>0</v>
      </c>
      <c r="E273" s="3">
        <v>43860</v>
      </c>
    </row>
    <row r="274" spans="1:5">
      <c r="A274" t="s">
        <v>301</v>
      </c>
      <c r="B274" t="s">
        <v>305</v>
      </c>
      <c r="C274" s="3">
        <v>309600</v>
      </c>
      <c r="D274" s="3">
        <v>0</v>
      </c>
      <c r="E274" s="3">
        <v>309600</v>
      </c>
    </row>
    <row r="275" spans="1:5">
      <c r="A275" t="s">
        <v>301</v>
      </c>
      <c r="B275" t="s">
        <v>306</v>
      </c>
      <c r="C275" s="3">
        <v>91590</v>
      </c>
      <c r="D275" s="3">
        <v>0</v>
      </c>
      <c r="E275" s="3">
        <v>91590</v>
      </c>
    </row>
    <row r="276" spans="1:5">
      <c r="A276" t="s">
        <v>301</v>
      </c>
      <c r="B276" t="s">
        <v>307</v>
      </c>
      <c r="C276" s="3">
        <v>101910</v>
      </c>
      <c r="D276" s="3">
        <v>0</v>
      </c>
      <c r="E276" s="3">
        <v>101910</v>
      </c>
    </row>
    <row r="277" spans="1:5">
      <c r="A277" t="s">
        <v>301</v>
      </c>
      <c r="B277" t="s">
        <v>308</v>
      </c>
      <c r="C277" s="3">
        <v>216720</v>
      </c>
      <c r="D277" s="3">
        <v>0</v>
      </c>
      <c r="E277" s="3">
        <v>216720</v>
      </c>
    </row>
    <row r="278" spans="1:5">
      <c r="A278" t="s">
        <v>301</v>
      </c>
      <c r="B278" t="s">
        <v>309</v>
      </c>
      <c r="C278" s="3">
        <v>46440</v>
      </c>
      <c r="D278" s="3">
        <v>0</v>
      </c>
      <c r="E278" s="3">
        <v>46440</v>
      </c>
    </row>
    <row r="279" spans="1:5">
      <c r="A279" t="s">
        <v>301</v>
      </c>
      <c r="B279" t="s">
        <v>310</v>
      </c>
      <c r="C279" s="3">
        <v>190920</v>
      </c>
      <c r="D279" s="3">
        <v>0</v>
      </c>
      <c r="E279" s="3">
        <v>190920</v>
      </c>
    </row>
    <row r="280" spans="1:5">
      <c r="A280" t="s">
        <v>301</v>
      </c>
      <c r="B280" t="s">
        <v>311</v>
      </c>
      <c r="C280" s="3">
        <v>64500</v>
      </c>
      <c r="D280" s="3">
        <v>0</v>
      </c>
      <c r="E280" s="3">
        <v>64500</v>
      </c>
    </row>
    <row r="281" spans="1:5">
      <c r="A281" t="s">
        <v>301</v>
      </c>
      <c r="B281" t="s">
        <v>312</v>
      </c>
      <c r="C281" s="3">
        <v>127194</v>
      </c>
      <c r="D281" s="3">
        <v>0</v>
      </c>
      <c r="E281" s="3">
        <v>127194</v>
      </c>
    </row>
    <row r="282" spans="1:5">
      <c r="A282" t="s">
        <v>301</v>
      </c>
      <c r="B282" t="s">
        <v>313</v>
      </c>
      <c r="C282" s="3">
        <v>307020</v>
      </c>
      <c r="D282" s="3">
        <v>0</v>
      </c>
      <c r="E282" s="3">
        <v>307020</v>
      </c>
    </row>
    <row r="283" spans="1:5">
      <c r="A283" t="s">
        <v>301</v>
      </c>
      <c r="B283" t="s">
        <v>314</v>
      </c>
      <c r="C283" s="3">
        <v>43860</v>
      </c>
      <c r="D283" s="3">
        <v>0</v>
      </c>
      <c r="E283" s="3">
        <v>43860</v>
      </c>
    </row>
    <row r="284" spans="1:5">
      <c r="A284" t="s">
        <v>301</v>
      </c>
      <c r="B284" t="s">
        <v>315</v>
      </c>
      <c r="C284" s="3">
        <v>114552</v>
      </c>
      <c r="D284" s="3">
        <v>0</v>
      </c>
      <c r="E284" s="3">
        <v>114552</v>
      </c>
    </row>
    <row r="285" spans="1:5">
      <c r="A285" t="s">
        <v>301</v>
      </c>
      <c r="B285" t="s">
        <v>316</v>
      </c>
      <c r="C285" s="3">
        <v>51600</v>
      </c>
      <c r="D285" s="3">
        <v>0</v>
      </c>
      <c r="E285" s="3">
        <v>51600</v>
      </c>
    </row>
    <row r="286" spans="1:5">
      <c r="A286" t="s">
        <v>301</v>
      </c>
      <c r="B286" t="s">
        <v>317</v>
      </c>
      <c r="C286" s="3">
        <v>619200</v>
      </c>
      <c r="D286" s="3">
        <v>0</v>
      </c>
      <c r="E286" s="3">
        <v>619200</v>
      </c>
    </row>
    <row r="287" spans="1:5">
      <c r="A287" t="s">
        <v>301</v>
      </c>
      <c r="B287" t="s">
        <v>318</v>
      </c>
      <c r="C287" s="3">
        <v>619200</v>
      </c>
      <c r="D287" s="3">
        <v>0</v>
      </c>
      <c r="E287" s="3">
        <v>619200</v>
      </c>
    </row>
    <row r="288" spans="1:5">
      <c r="A288" t="s">
        <v>301</v>
      </c>
      <c r="B288" t="s">
        <v>319</v>
      </c>
      <c r="C288" s="3">
        <v>0</v>
      </c>
      <c r="D288" s="3">
        <v>1148522.2944</v>
      </c>
      <c r="E288" s="3">
        <v>1148522.2944</v>
      </c>
    </row>
    <row r="289" spans="1:5">
      <c r="A289" t="s">
        <v>301</v>
      </c>
      <c r="B289" t="s">
        <v>320</v>
      </c>
      <c r="C289" s="3">
        <v>810481.2</v>
      </c>
      <c r="D289" s="3">
        <v>0</v>
      </c>
      <c r="E289" s="3">
        <v>810481.2</v>
      </c>
    </row>
    <row r="290" spans="1:5">
      <c r="A290" t="s">
        <v>301</v>
      </c>
      <c r="B290" t="s">
        <v>321</v>
      </c>
      <c r="C290" s="3">
        <v>43860</v>
      </c>
      <c r="D290" s="3">
        <v>0</v>
      </c>
      <c r="E290" s="3">
        <v>43860</v>
      </c>
    </row>
    <row r="291" spans="1:5">
      <c r="A291" t="s">
        <v>301</v>
      </c>
      <c r="B291" t="s">
        <v>321</v>
      </c>
      <c r="C291" s="3">
        <v>44.892</v>
      </c>
      <c r="D291" s="3">
        <v>0</v>
      </c>
      <c r="E291" s="3">
        <v>44.892</v>
      </c>
    </row>
    <row r="292" spans="1:5">
      <c r="A292" t="s">
        <v>301</v>
      </c>
      <c r="B292" t="s">
        <v>321</v>
      </c>
      <c r="C292" s="3">
        <v>6.708</v>
      </c>
      <c r="D292" s="3">
        <v>0</v>
      </c>
      <c r="E292" s="3">
        <v>6.708</v>
      </c>
    </row>
    <row r="293" spans="1:5">
      <c r="A293" t="s">
        <v>301</v>
      </c>
      <c r="B293" t="s">
        <v>322</v>
      </c>
      <c r="C293" s="3">
        <v>0</v>
      </c>
      <c r="D293" s="3">
        <v>17874.2916</v>
      </c>
      <c r="E293" s="3">
        <v>17874.2916</v>
      </c>
    </row>
    <row r="294" spans="1:5">
      <c r="A294" t="s">
        <v>323</v>
      </c>
      <c r="B294" t="s">
        <v>324</v>
      </c>
      <c r="C294" s="3">
        <v>0</v>
      </c>
      <c r="D294" s="3">
        <v>582215.2356</v>
      </c>
      <c r="E294" s="3">
        <v>582215.2356</v>
      </c>
    </row>
    <row r="295" spans="1:5">
      <c r="A295" t="s">
        <v>323</v>
      </c>
      <c r="B295" t="s">
        <v>325</v>
      </c>
      <c r="C295" s="3">
        <v>0</v>
      </c>
      <c r="D295" s="3">
        <v>751601.1624</v>
      </c>
      <c r="E295" s="3">
        <v>751601.1624</v>
      </c>
    </row>
    <row r="296" spans="1:5">
      <c r="A296" t="s">
        <v>323</v>
      </c>
      <c r="B296" t="s">
        <v>326</v>
      </c>
      <c r="C296" s="3">
        <v>0</v>
      </c>
      <c r="D296" s="3">
        <v>4280.5812</v>
      </c>
      <c r="E296" s="3">
        <v>4280.5812</v>
      </c>
    </row>
    <row r="297" spans="1:5">
      <c r="A297" t="s">
        <v>323</v>
      </c>
      <c r="B297" t="s">
        <v>327</v>
      </c>
      <c r="C297" s="3">
        <v>0</v>
      </c>
      <c r="D297" s="3">
        <v>28596.8232</v>
      </c>
      <c r="E297" s="3">
        <v>28596.8232</v>
      </c>
    </row>
    <row r="298" spans="1:5">
      <c r="A298" t="s">
        <v>328</v>
      </c>
      <c r="B298" t="s">
        <v>329</v>
      </c>
      <c r="C298" s="3">
        <v>0</v>
      </c>
      <c r="D298" s="3">
        <v>853858.8432</v>
      </c>
      <c r="E298" s="3">
        <v>853858.8432</v>
      </c>
    </row>
    <row r="299" spans="1:5">
      <c r="A299" t="s">
        <v>328</v>
      </c>
      <c r="B299" t="s">
        <v>330</v>
      </c>
      <c r="C299" s="3">
        <v>309600</v>
      </c>
      <c r="D299" s="3">
        <v>0</v>
      </c>
      <c r="E299" s="3">
        <v>309600</v>
      </c>
    </row>
    <row r="300" spans="1:5">
      <c r="A300" t="s">
        <v>331</v>
      </c>
      <c r="B300" t="s">
        <v>332</v>
      </c>
      <c r="C300" s="3">
        <v>0</v>
      </c>
      <c r="D300" s="3">
        <v>744496.3068</v>
      </c>
      <c r="E300" s="3">
        <v>744496.3068</v>
      </c>
    </row>
    <row r="301" spans="1:5">
      <c r="A301" t="s">
        <v>331</v>
      </c>
      <c r="B301" t="s">
        <v>333</v>
      </c>
      <c r="C301" s="3">
        <v>0</v>
      </c>
      <c r="D301" s="3">
        <v>21445.0632</v>
      </c>
      <c r="E301" s="3">
        <v>21445.0632</v>
      </c>
    </row>
    <row r="302" spans="1:5">
      <c r="A302" t="s">
        <v>331</v>
      </c>
      <c r="B302" t="s">
        <v>334</v>
      </c>
      <c r="C302" s="3">
        <v>28173.6</v>
      </c>
      <c r="D302" s="3">
        <v>0</v>
      </c>
      <c r="E302" s="3">
        <v>28173.6</v>
      </c>
    </row>
    <row r="303" spans="1:5">
      <c r="A303" t="s">
        <v>331</v>
      </c>
      <c r="B303" t="s">
        <v>335</v>
      </c>
      <c r="C303" s="3">
        <v>0</v>
      </c>
      <c r="D303" s="3">
        <v>325.0284</v>
      </c>
      <c r="E303" s="3">
        <v>325.0284</v>
      </c>
    </row>
    <row r="304" spans="1:5">
      <c r="A304" t="s">
        <v>331</v>
      </c>
      <c r="B304" t="s">
        <v>336</v>
      </c>
      <c r="C304" s="3">
        <v>54180</v>
      </c>
      <c r="D304" s="3">
        <v>0</v>
      </c>
      <c r="E304" s="3">
        <v>54180</v>
      </c>
    </row>
    <row r="305" spans="1:5">
      <c r="A305" t="s">
        <v>331</v>
      </c>
      <c r="B305" t="s">
        <v>337</v>
      </c>
      <c r="C305" s="3">
        <v>72766.32</v>
      </c>
      <c r="D305" s="3">
        <v>0</v>
      </c>
      <c r="E305" s="3">
        <v>72766.32</v>
      </c>
    </row>
    <row r="306" spans="1:5">
      <c r="A306" t="s">
        <v>338</v>
      </c>
      <c r="B306" t="s">
        <v>339</v>
      </c>
      <c r="C306" s="3">
        <v>0</v>
      </c>
      <c r="D306" s="3">
        <v>1041955.0848</v>
      </c>
      <c r="E306" s="3">
        <v>1041955.0848</v>
      </c>
    </row>
    <row r="307" spans="1:5">
      <c r="A307" t="s">
        <v>340</v>
      </c>
      <c r="B307" t="s">
        <v>341</v>
      </c>
      <c r="C307" s="3">
        <v>0</v>
      </c>
      <c r="D307" s="3">
        <v>876292.5624</v>
      </c>
      <c r="E307" s="3">
        <v>876292.5624</v>
      </c>
    </row>
    <row r="308" spans="1:5">
      <c r="A308" t="s">
        <v>340</v>
      </c>
      <c r="B308" t="s">
        <v>342</v>
      </c>
      <c r="C308" s="3">
        <v>0</v>
      </c>
      <c r="D308" s="3">
        <v>232.1484</v>
      </c>
      <c r="E308" s="3">
        <v>232.1484</v>
      </c>
    </row>
    <row r="309" spans="1:5">
      <c r="A309" t="s">
        <v>343</v>
      </c>
      <c r="B309" t="s">
        <v>344</v>
      </c>
      <c r="C309" s="3">
        <v>0</v>
      </c>
      <c r="D309" s="3">
        <v>675068.61</v>
      </c>
      <c r="E309" s="3">
        <v>675068.61</v>
      </c>
    </row>
    <row r="310" spans="1:5">
      <c r="A310" t="s">
        <v>343</v>
      </c>
      <c r="B310" t="s">
        <v>345</v>
      </c>
      <c r="C310" s="3">
        <v>0</v>
      </c>
      <c r="D310" s="3">
        <v>77204.0232</v>
      </c>
      <c r="E310" s="3">
        <v>77204.0232</v>
      </c>
    </row>
    <row r="311" spans="1:5">
      <c r="A311" t="s">
        <v>343</v>
      </c>
      <c r="B311" t="s">
        <v>346</v>
      </c>
      <c r="C311" s="3">
        <v>0</v>
      </c>
      <c r="D311" s="3">
        <v>309910.0644</v>
      </c>
      <c r="E311" s="3">
        <v>309910.0644</v>
      </c>
    </row>
    <row r="312" spans="1:5">
      <c r="A312" t="s">
        <v>343</v>
      </c>
      <c r="B312" t="s">
        <v>347</v>
      </c>
      <c r="C312" s="3">
        <v>25800</v>
      </c>
      <c r="D312" s="3">
        <v>0</v>
      </c>
      <c r="E312" s="3">
        <v>25800</v>
      </c>
    </row>
    <row r="313" spans="1:5">
      <c r="A313" t="s">
        <v>343</v>
      </c>
      <c r="B313" t="s">
        <v>348</v>
      </c>
      <c r="C313" s="3">
        <v>25800</v>
      </c>
      <c r="D313" s="3">
        <v>0</v>
      </c>
      <c r="E313" s="3">
        <v>25800</v>
      </c>
    </row>
    <row r="314" spans="1:5">
      <c r="A314" t="s">
        <v>343</v>
      </c>
      <c r="B314" t="s">
        <v>349</v>
      </c>
      <c r="C314" s="3">
        <v>41280</v>
      </c>
      <c r="D314" s="3">
        <v>0</v>
      </c>
      <c r="E314" s="3">
        <v>41280</v>
      </c>
    </row>
    <row r="315" spans="1:5">
      <c r="A315" t="s">
        <v>343</v>
      </c>
      <c r="B315" t="s">
        <v>350</v>
      </c>
      <c r="C315" s="3">
        <v>2064727.56</v>
      </c>
      <c r="D315" s="3">
        <v>0</v>
      </c>
      <c r="E315" s="3">
        <v>2064727.56</v>
      </c>
    </row>
    <row r="316" spans="1:5">
      <c r="A316" t="s">
        <v>351</v>
      </c>
      <c r="B316" t="s">
        <v>352</v>
      </c>
      <c r="C316" s="3">
        <v>0</v>
      </c>
      <c r="D316" s="3">
        <v>774204.5424</v>
      </c>
      <c r="E316" s="3">
        <v>774204.5424</v>
      </c>
    </row>
    <row r="317" spans="1:5">
      <c r="A317" t="s">
        <v>351</v>
      </c>
      <c r="B317" t="s">
        <v>353</v>
      </c>
      <c r="C317" s="3">
        <v>258000</v>
      </c>
      <c r="D317" s="3">
        <v>0</v>
      </c>
      <c r="E317" s="3">
        <v>258000</v>
      </c>
    </row>
    <row r="318" spans="1:5">
      <c r="A318" t="s">
        <v>351</v>
      </c>
      <c r="B318" t="s">
        <v>354</v>
      </c>
      <c r="C318" s="3">
        <v>0</v>
      </c>
      <c r="D318" s="3">
        <v>10722.5316</v>
      </c>
      <c r="E318" s="3">
        <v>10722.5316</v>
      </c>
    </row>
    <row r="319" spans="1:5">
      <c r="A319" t="s">
        <v>355</v>
      </c>
      <c r="B319" t="s">
        <v>356</v>
      </c>
      <c r="C319" s="3">
        <v>0</v>
      </c>
      <c r="D319" s="3">
        <v>837055.0968</v>
      </c>
      <c r="E319" s="3">
        <v>837055.0968</v>
      </c>
    </row>
    <row r="320" spans="1:5">
      <c r="A320" t="s">
        <v>355</v>
      </c>
      <c r="B320" t="s">
        <v>357</v>
      </c>
      <c r="C320" s="3">
        <v>1548</v>
      </c>
      <c r="D320" s="3">
        <v>0</v>
      </c>
      <c r="E320" s="3">
        <v>1548</v>
      </c>
    </row>
    <row r="321" spans="1:5">
      <c r="A321" t="s">
        <v>355</v>
      </c>
      <c r="B321" t="s">
        <v>358</v>
      </c>
      <c r="C321" s="3">
        <v>232.2</v>
      </c>
      <c r="D321" s="3">
        <v>0</v>
      </c>
      <c r="E321" s="3">
        <v>232.2</v>
      </c>
    </row>
    <row r="322" spans="1:5">
      <c r="A322" t="s">
        <v>359</v>
      </c>
      <c r="B322" t="s">
        <v>360</v>
      </c>
      <c r="C322" s="3">
        <v>0</v>
      </c>
      <c r="D322" s="3">
        <v>650194.6752</v>
      </c>
      <c r="E322" s="3">
        <v>650194.6752</v>
      </c>
    </row>
    <row r="323" spans="1:5">
      <c r="A323" t="s">
        <v>359</v>
      </c>
      <c r="B323" t="s">
        <v>361</v>
      </c>
      <c r="C323" s="3">
        <v>0</v>
      </c>
      <c r="D323" s="3">
        <v>21445.0632</v>
      </c>
      <c r="E323" s="3">
        <v>21445.0632</v>
      </c>
    </row>
    <row r="324" spans="1:5">
      <c r="A324" t="s">
        <v>359</v>
      </c>
      <c r="B324" t="s">
        <v>362</v>
      </c>
      <c r="C324" s="3">
        <v>0</v>
      </c>
      <c r="D324" s="3">
        <v>464.2968</v>
      </c>
      <c r="E324" s="3">
        <v>464.2968</v>
      </c>
    </row>
    <row r="325" spans="1:5">
      <c r="A325" t="s">
        <v>363</v>
      </c>
      <c r="B325" t="s">
        <v>364</v>
      </c>
      <c r="C325" s="3">
        <v>0</v>
      </c>
      <c r="D325" s="3">
        <v>530112.8064</v>
      </c>
      <c r="E325" s="3">
        <v>530112.8064</v>
      </c>
    </row>
    <row r="326" spans="1:5">
      <c r="A326" t="s">
        <v>363</v>
      </c>
      <c r="B326" t="s">
        <v>365</v>
      </c>
      <c r="C326" s="3">
        <v>2270400</v>
      </c>
      <c r="D326" s="3">
        <v>0</v>
      </c>
      <c r="E326" s="3">
        <v>2270400</v>
      </c>
    </row>
    <row r="327" spans="1:5">
      <c r="A327" t="s">
        <v>366</v>
      </c>
      <c r="B327" t="s">
        <v>367</v>
      </c>
      <c r="C327" s="3">
        <v>0</v>
      </c>
      <c r="D327" s="3">
        <v>1147933.2804</v>
      </c>
      <c r="E327" s="3">
        <v>1147933.2804</v>
      </c>
    </row>
    <row r="328" spans="1:5">
      <c r="A328" t="s">
        <v>366</v>
      </c>
      <c r="B328" t="s">
        <v>368</v>
      </c>
      <c r="C328" s="3">
        <v>0</v>
      </c>
      <c r="D328" s="3">
        <v>551561.3268</v>
      </c>
      <c r="E328" s="3">
        <v>551561.3268</v>
      </c>
    </row>
    <row r="329" spans="1:5">
      <c r="A329" t="s">
        <v>366</v>
      </c>
      <c r="B329" t="s">
        <v>369</v>
      </c>
      <c r="C329" s="3">
        <v>21424.32</v>
      </c>
      <c r="D329" s="3">
        <v>0</v>
      </c>
      <c r="E329" s="3">
        <v>21424.32</v>
      </c>
    </row>
    <row r="330" spans="1:5">
      <c r="A330" t="s">
        <v>366</v>
      </c>
      <c r="B330" t="s">
        <v>370</v>
      </c>
      <c r="C330" s="3">
        <v>367381.68</v>
      </c>
      <c r="D330" s="3">
        <v>0</v>
      </c>
      <c r="E330" s="3">
        <v>367381.68</v>
      </c>
    </row>
    <row r="331" spans="1:5">
      <c r="A331" t="s">
        <v>366</v>
      </c>
      <c r="B331" t="s">
        <v>370</v>
      </c>
      <c r="C331" s="3">
        <v>44.892</v>
      </c>
      <c r="D331" s="3">
        <v>0</v>
      </c>
      <c r="E331" s="3">
        <v>44.892</v>
      </c>
    </row>
    <row r="332" spans="1:5">
      <c r="A332" t="s">
        <v>366</v>
      </c>
      <c r="B332" t="s">
        <v>370</v>
      </c>
      <c r="C332" s="3">
        <v>6.708</v>
      </c>
      <c r="D332" s="3">
        <v>0</v>
      </c>
      <c r="E332" s="3">
        <v>6.708</v>
      </c>
    </row>
    <row r="333" spans="1:5">
      <c r="A333" t="s">
        <v>371</v>
      </c>
      <c r="B333" t="s">
        <v>372</v>
      </c>
      <c r="C333" s="3">
        <v>0</v>
      </c>
      <c r="D333" s="3">
        <v>842895.3396</v>
      </c>
      <c r="E333" s="3">
        <v>842895.3396</v>
      </c>
    </row>
    <row r="334" spans="1:5">
      <c r="A334" t="s">
        <v>371</v>
      </c>
      <c r="B334" t="s">
        <v>373</v>
      </c>
      <c r="C334" s="3">
        <v>0</v>
      </c>
      <c r="D334" s="3">
        <v>87928.4124</v>
      </c>
      <c r="E334" s="3">
        <v>87928.4124</v>
      </c>
    </row>
    <row r="335" spans="1:5">
      <c r="A335" t="s">
        <v>371</v>
      </c>
      <c r="B335" t="s">
        <v>374</v>
      </c>
      <c r="C335" s="3">
        <v>129000</v>
      </c>
      <c r="D335" s="3">
        <v>0</v>
      </c>
      <c r="E335" s="3">
        <v>129000</v>
      </c>
    </row>
    <row r="336" spans="1:5">
      <c r="A336" t="s">
        <v>375</v>
      </c>
      <c r="B336" t="s">
        <v>376</v>
      </c>
      <c r="C336" s="3">
        <v>0</v>
      </c>
      <c r="D336" s="3">
        <v>536364.6108</v>
      </c>
      <c r="E336" s="3">
        <v>536364.6108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3"/>
  <sheetViews>
    <sheetView workbookViewId="0">
      <pane ySplit="1" topLeftCell="A85" activePane="bottomLeft" state="frozen"/>
      <selection/>
      <selection pane="bottomLeft" activeCell="A2" sqref="A2:E113"/>
    </sheetView>
  </sheetViews>
  <sheetFormatPr defaultColWidth="9" defaultRowHeight="16.8" outlineLevelCol="4"/>
  <cols>
    <col min="1" max="1" width="11" customWidth="1"/>
    <col min="2" max="2" width="19.375" customWidth="1"/>
    <col min="3" max="3" width="10.5" customWidth="1"/>
    <col min="4" max="4" width="13.3125" customWidth="1"/>
    <col min="5" max="5" width="13.3125"/>
  </cols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 t="s">
        <v>6</v>
      </c>
      <c r="C2">
        <f>'Raw Calculations'!E2</f>
        <v>0</v>
      </c>
      <c r="D2" s="7">
        <f>'Raw Calculations'!H2</f>
        <v>675247.7763</v>
      </c>
      <c r="E2" s="7">
        <f>C2+D2</f>
        <v>675247.7763</v>
      </c>
    </row>
    <row r="3" spans="1:5">
      <c r="A3" t="s">
        <v>5</v>
      </c>
      <c r="B3" t="s">
        <v>7</v>
      </c>
      <c r="C3">
        <f>'Raw Calculations'!E3</f>
        <v>34200</v>
      </c>
      <c r="D3" s="7">
        <f>'Raw Calculations'!H3</f>
        <v>0</v>
      </c>
      <c r="E3" s="7">
        <f t="shared" ref="E3:E34" si="0">C3+D3</f>
        <v>34200</v>
      </c>
    </row>
    <row r="4" spans="1:5">
      <c r="A4" t="s">
        <v>5</v>
      </c>
      <c r="B4" t="s">
        <v>8</v>
      </c>
      <c r="C4">
        <f>'Raw Calculations'!E4</f>
        <v>48450</v>
      </c>
      <c r="D4" s="7">
        <f>'Raw Calculations'!H4</f>
        <v>0</v>
      </c>
      <c r="E4" s="7">
        <f t="shared" si="0"/>
        <v>48450</v>
      </c>
    </row>
    <row r="5" spans="1:5">
      <c r="A5" t="s">
        <v>5</v>
      </c>
      <c r="B5" t="s">
        <v>9</v>
      </c>
      <c r="C5">
        <f>'Raw Calculations'!E5</f>
        <v>126540</v>
      </c>
      <c r="D5" s="7">
        <f>'Raw Calculations'!H5</f>
        <v>0</v>
      </c>
      <c r="E5" s="7">
        <f t="shared" si="0"/>
        <v>126540</v>
      </c>
    </row>
    <row r="6" spans="1:5">
      <c r="A6" t="s">
        <v>5</v>
      </c>
      <c r="B6" t="s">
        <v>10</v>
      </c>
      <c r="C6">
        <f>'Raw Calculations'!E6</f>
        <v>239400</v>
      </c>
      <c r="D6" s="7">
        <f>'Raw Calculations'!H6</f>
        <v>0</v>
      </c>
      <c r="E6" s="7">
        <f t="shared" si="0"/>
        <v>239400</v>
      </c>
    </row>
    <row r="7" spans="1:5">
      <c r="A7" t="s">
        <v>5</v>
      </c>
      <c r="B7" t="s">
        <v>11</v>
      </c>
      <c r="C7">
        <f>'Raw Calculations'!E7</f>
        <v>101175</v>
      </c>
      <c r="D7" s="7">
        <f>'Raw Calculations'!H7</f>
        <v>0</v>
      </c>
      <c r="E7" s="7">
        <f t="shared" si="0"/>
        <v>101175</v>
      </c>
    </row>
    <row r="8" spans="1:5">
      <c r="A8" t="s">
        <v>5</v>
      </c>
      <c r="B8" t="s">
        <v>12</v>
      </c>
      <c r="C8">
        <f>'Raw Calculations'!E8</f>
        <v>112575</v>
      </c>
      <c r="D8" s="7">
        <f>'Raw Calculations'!H8</f>
        <v>0</v>
      </c>
      <c r="E8" s="7">
        <f t="shared" si="0"/>
        <v>112575</v>
      </c>
    </row>
    <row r="9" spans="1:5">
      <c r="A9" t="s">
        <v>5</v>
      </c>
      <c r="B9" t="s">
        <v>13</v>
      </c>
      <c r="C9">
        <f>'Raw Calculations'!E9</f>
        <v>57000</v>
      </c>
      <c r="D9" s="7">
        <f>'Raw Calculations'!H9</f>
        <v>0</v>
      </c>
      <c r="E9" s="7">
        <f t="shared" si="0"/>
        <v>57000</v>
      </c>
    </row>
    <row r="10" spans="1:5">
      <c r="A10" t="s">
        <v>5</v>
      </c>
      <c r="B10" t="s">
        <v>14</v>
      </c>
      <c r="C10">
        <f>'Raw Calculations'!E10</f>
        <v>210900</v>
      </c>
      <c r="D10" s="7">
        <f>'Raw Calculations'!H10</f>
        <v>0</v>
      </c>
      <c r="E10" s="7">
        <f t="shared" si="0"/>
        <v>210900</v>
      </c>
    </row>
    <row r="11" spans="1:5">
      <c r="A11" t="s">
        <v>5</v>
      </c>
      <c r="B11" t="s">
        <v>15</v>
      </c>
      <c r="C11">
        <f>'Raw Calculations'!E11</f>
        <v>95475</v>
      </c>
      <c r="D11" s="7">
        <f>'Raw Calculations'!H11</f>
        <v>0</v>
      </c>
      <c r="E11" s="7">
        <f t="shared" si="0"/>
        <v>95475</v>
      </c>
    </row>
    <row r="12" spans="1:5">
      <c r="A12" t="s">
        <v>5</v>
      </c>
      <c r="B12" t="s">
        <v>16</v>
      </c>
      <c r="C12">
        <f>'Raw Calculations'!E12</f>
        <v>140505</v>
      </c>
      <c r="D12" s="7">
        <f>'Raw Calculations'!H12</f>
        <v>0</v>
      </c>
      <c r="E12" s="7">
        <f t="shared" si="0"/>
        <v>140505</v>
      </c>
    </row>
    <row r="13" spans="1:5">
      <c r="A13" t="s">
        <v>5</v>
      </c>
      <c r="B13" t="s">
        <v>17</v>
      </c>
      <c r="C13">
        <f>'Raw Calculations'!E13</f>
        <v>339150</v>
      </c>
      <c r="D13" s="7">
        <f>'Raw Calculations'!H13</f>
        <v>0</v>
      </c>
      <c r="E13" s="7">
        <f t="shared" si="0"/>
        <v>339150</v>
      </c>
    </row>
    <row r="14" spans="1:5">
      <c r="A14" t="s">
        <v>5</v>
      </c>
      <c r="B14" t="s">
        <v>18</v>
      </c>
      <c r="C14">
        <f>'Raw Calculations'!E14</f>
        <v>71250</v>
      </c>
      <c r="D14" s="7">
        <f>'Raw Calculations'!H14</f>
        <v>0</v>
      </c>
      <c r="E14" s="7">
        <f t="shared" si="0"/>
        <v>71250</v>
      </c>
    </row>
    <row r="15" spans="1:5">
      <c r="A15" t="s">
        <v>5</v>
      </c>
      <c r="B15" t="s">
        <v>19</v>
      </c>
      <c r="C15">
        <f>'Raw Calculations'!E15</f>
        <v>51300</v>
      </c>
      <c r="D15" s="7">
        <f>'Raw Calculations'!H15</f>
        <v>0</v>
      </c>
      <c r="E15" s="7">
        <f t="shared" si="0"/>
        <v>51300</v>
      </c>
    </row>
    <row r="16" spans="1:5">
      <c r="A16" t="s">
        <v>5</v>
      </c>
      <c r="B16" t="s">
        <v>20</v>
      </c>
      <c r="C16">
        <f>'Raw Calculations'!E16</f>
        <v>49875</v>
      </c>
      <c r="D16" s="7">
        <f>'Raw Calculations'!H16</f>
        <v>0</v>
      </c>
      <c r="E16" s="7">
        <f t="shared" si="0"/>
        <v>49875</v>
      </c>
    </row>
    <row r="17" spans="1:5">
      <c r="A17" t="s">
        <v>5</v>
      </c>
      <c r="B17" t="s">
        <v>21</v>
      </c>
      <c r="C17">
        <f>'Raw Calculations'!E17</f>
        <v>85500</v>
      </c>
      <c r="D17" s="7">
        <f>'Raw Calculations'!H17</f>
        <v>0</v>
      </c>
      <c r="E17" s="7">
        <f t="shared" si="0"/>
        <v>85500</v>
      </c>
    </row>
    <row r="18" spans="1:5">
      <c r="A18" t="s">
        <v>5</v>
      </c>
      <c r="B18" t="s">
        <v>22</v>
      </c>
      <c r="C18">
        <f>'Raw Calculations'!E18</f>
        <v>0</v>
      </c>
      <c r="D18" s="7">
        <f>'Raw Calculations'!H18</f>
        <v>149.8167</v>
      </c>
      <c r="E18" s="7">
        <f t="shared" si="0"/>
        <v>149.8167</v>
      </c>
    </row>
    <row r="19" spans="1:5">
      <c r="A19" t="s">
        <v>5</v>
      </c>
      <c r="B19" t="s">
        <v>23</v>
      </c>
      <c r="C19">
        <f>'Raw Calculations'!E19</f>
        <v>2257200</v>
      </c>
      <c r="D19" s="7">
        <f>'Raw Calculations'!H19</f>
        <v>0</v>
      </c>
      <c r="E19" s="7">
        <f t="shared" si="0"/>
        <v>2257200</v>
      </c>
    </row>
    <row r="20" spans="1:5">
      <c r="A20" t="s">
        <v>5</v>
      </c>
      <c r="B20" t="s">
        <v>24</v>
      </c>
      <c r="C20">
        <f>'Raw Calculations'!E20</f>
        <v>55005</v>
      </c>
      <c r="D20" s="7">
        <f>'Raw Calculations'!H20</f>
        <v>0</v>
      </c>
      <c r="E20" s="7">
        <f t="shared" si="0"/>
        <v>55005</v>
      </c>
    </row>
    <row r="21" spans="1:5">
      <c r="A21" t="s">
        <v>5</v>
      </c>
      <c r="B21" t="s">
        <v>24</v>
      </c>
      <c r="C21">
        <f>'Raw Calculations'!E21</f>
        <v>24.795</v>
      </c>
      <c r="D21" s="7">
        <f>'Raw Calculations'!H21</f>
        <v>0</v>
      </c>
      <c r="E21" s="7">
        <f t="shared" si="0"/>
        <v>24.795</v>
      </c>
    </row>
    <row r="22" spans="1:5">
      <c r="A22" t="s">
        <v>5</v>
      </c>
      <c r="B22" t="s">
        <v>24</v>
      </c>
      <c r="C22">
        <f>'Raw Calculations'!E22</f>
        <v>3.705</v>
      </c>
      <c r="D22" s="7">
        <f>'Raw Calculations'!H22</f>
        <v>0</v>
      </c>
      <c r="E22" s="7">
        <f t="shared" si="0"/>
        <v>3.705</v>
      </c>
    </row>
    <row r="23" spans="1:5">
      <c r="A23" t="s">
        <v>5</v>
      </c>
      <c r="B23" t="s">
        <v>25</v>
      </c>
      <c r="C23">
        <f>'Raw Calculations'!E23</f>
        <v>92625</v>
      </c>
      <c r="D23" s="7">
        <f>'Raw Calculations'!H23</f>
        <v>0</v>
      </c>
      <c r="E23" s="7">
        <f t="shared" si="0"/>
        <v>92625</v>
      </c>
    </row>
    <row r="24" spans="1:5">
      <c r="A24" t="s">
        <v>5</v>
      </c>
      <c r="B24" t="s">
        <v>25</v>
      </c>
      <c r="C24">
        <f>'Raw Calculations'!E24</f>
        <v>24.795</v>
      </c>
      <c r="D24" s="7">
        <f>'Raw Calculations'!H24</f>
        <v>0</v>
      </c>
      <c r="E24" s="7">
        <f t="shared" si="0"/>
        <v>24.795</v>
      </c>
    </row>
    <row r="25" spans="1:5">
      <c r="A25" t="s">
        <v>5</v>
      </c>
      <c r="B25" t="s">
        <v>25</v>
      </c>
      <c r="C25">
        <f>'Raw Calculations'!E25</f>
        <v>3.705</v>
      </c>
      <c r="D25" s="7">
        <f>'Raw Calculations'!H25</f>
        <v>0</v>
      </c>
      <c r="E25" s="7">
        <f t="shared" si="0"/>
        <v>3.705</v>
      </c>
    </row>
    <row r="26" spans="1:5">
      <c r="A26" t="s">
        <v>26</v>
      </c>
      <c r="B26" t="s">
        <v>27</v>
      </c>
      <c r="C26">
        <f>'Raw Calculations'!E26</f>
        <v>55575</v>
      </c>
      <c r="D26" s="7">
        <f>'Raw Calculations'!H26</f>
        <v>0</v>
      </c>
      <c r="E26" s="7">
        <f t="shared" si="0"/>
        <v>55575</v>
      </c>
    </row>
    <row r="27" spans="1:5">
      <c r="A27" t="s">
        <v>26</v>
      </c>
      <c r="B27" t="s">
        <v>27</v>
      </c>
      <c r="C27">
        <f>'Raw Calculations'!E27</f>
        <v>24.795</v>
      </c>
      <c r="D27" s="7">
        <f>'Raw Calculations'!H27</f>
        <v>0</v>
      </c>
      <c r="E27" s="7">
        <f t="shared" si="0"/>
        <v>24.795</v>
      </c>
    </row>
    <row r="28" spans="1:5">
      <c r="A28" t="s">
        <v>26</v>
      </c>
      <c r="B28" t="s">
        <v>27</v>
      </c>
      <c r="C28">
        <f>'Raw Calculations'!E28</f>
        <v>3.705</v>
      </c>
      <c r="D28" s="7">
        <f>'Raw Calculations'!H28</f>
        <v>0</v>
      </c>
      <c r="E28" s="7">
        <f t="shared" si="0"/>
        <v>3.705</v>
      </c>
    </row>
    <row r="29" spans="1:5">
      <c r="A29" t="s">
        <v>26</v>
      </c>
      <c r="B29" t="s">
        <v>28</v>
      </c>
      <c r="C29">
        <f>'Raw Calculations'!E29</f>
        <v>8830.782</v>
      </c>
      <c r="D29" s="7">
        <f>'Raw Calculations'!H29</f>
        <v>0</v>
      </c>
      <c r="E29" s="7">
        <f t="shared" si="0"/>
        <v>8830.782</v>
      </c>
    </row>
    <row r="30" spans="1:5">
      <c r="A30" t="s">
        <v>26</v>
      </c>
      <c r="B30" t="s">
        <v>29</v>
      </c>
      <c r="C30">
        <f>'Raw Calculations'!E30</f>
        <v>0</v>
      </c>
      <c r="D30" s="7">
        <f>'Raw Calculations'!H30</f>
        <v>252235.2789</v>
      </c>
      <c r="E30" s="7">
        <f t="shared" si="0"/>
        <v>252235.2789</v>
      </c>
    </row>
    <row r="31" spans="1:5">
      <c r="A31" t="s">
        <v>26</v>
      </c>
      <c r="B31" t="s">
        <v>30</v>
      </c>
      <c r="C31">
        <f>'Raw Calculations'!E31</f>
        <v>0</v>
      </c>
      <c r="D31" s="7">
        <f>'Raw Calculations'!H31</f>
        <v>1645.0533</v>
      </c>
      <c r="E31" s="7">
        <f t="shared" si="0"/>
        <v>1645.0533</v>
      </c>
    </row>
    <row r="32" spans="1:5">
      <c r="A32" t="s">
        <v>31</v>
      </c>
      <c r="B32" t="s">
        <v>32</v>
      </c>
      <c r="C32">
        <f>'Raw Calculations'!E32</f>
        <v>0</v>
      </c>
      <c r="D32" s="7">
        <f>'Raw Calculations'!H32</f>
        <v>671011.1172</v>
      </c>
      <c r="E32" s="7">
        <f t="shared" si="0"/>
        <v>671011.1172</v>
      </c>
    </row>
    <row r="33" spans="1:5">
      <c r="A33" t="s">
        <v>31</v>
      </c>
      <c r="B33" t="s">
        <v>33</v>
      </c>
      <c r="C33">
        <f>'Raw Calculations'!E33</f>
        <v>0</v>
      </c>
      <c r="D33" s="7">
        <f>'Raw Calculations'!H33</f>
        <v>727147.8243</v>
      </c>
      <c r="E33" s="7">
        <f t="shared" si="0"/>
        <v>727147.8243</v>
      </c>
    </row>
    <row r="34" spans="1:5">
      <c r="A34" t="s">
        <v>31</v>
      </c>
      <c r="B34" t="s">
        <v>34</v>
      </c>
      <c r="C34">
        <f>'Raw Calculations'!E34</f>
        <v>0</v>
      </c>
      <c r="D34" s="7">
        <f>'Raw Calculations'!H34</f>
        <v>666000</v>
      </c>
      <c r="E34" s="7">
        <f t="shared" si="0"/>
        <v>666000</v>
      </c>
    </row>
    <row r="35" spans="1:5">
      <c r="A35" t="s">
        <v>31</v>
      </c>
      <c r="B35" t="s">
        <v>35</v>
      </c>
      <c r="C35">
        <f>'Raw Calculations'!E35</f>
        <v>684000</v>
      </c>
      <c r="D35" s="7">
        <f>'Raw Calculations'!H35</f>
        <v>0</v>
      </c>
      <c r="E35" s="7">
        <f t="shared" ref="E35:E66" si="1">C35+D35</f>
        <v>684000</v>
      </c>
    </row>
    <row r="36" spans="1:5">
      <c r="A36" t="s">
        <v>31</v>
      </c>
      <c r="B36" t="s">
        <v>35</v>
      </c>
      <c r="C36">
        <f>'Raw Calculations'!E36</f>
        <v>24.795</v>
      </c>
      <c r="D36" s="7">
        <f>'Raw Calculations'!H36</f>
        <v>0</v>
      </c>
      <c r="E36" s="7">
        <f t="shared" si="1"/>
        <v>24.795</v>
      </c>
    </row>
    <row r="37" spans="1:5">
      <c r="A37" t="s">
        <v>31</v>
      </c>
      <c r="B37" t="s">
        <v>35</v>
      </c>
      <c r="C37">
        <f>'Raw Calculations'!E37</f>
        <v>3.705</v>
      </c>
      <c r="D37" s="7">
        <f>'Raw Calculations'!H37</f>
        <v>0</v>
      </c>
      <c r="E37" s="7">
        <f t="shared" si="1"/>
        <v>3.705</v>
      </c>
    </row>
    <row r="38" spans="1:5">
      <c r="A38" t="s">
        <v>31</v>
      </c>
      <c r="B38" t="s">
        <v>36</v>
      </c>
      <c r="C38">
        <f>'Raw Calculations'!E38</f>
        <v>684000</v>
      </c>
      <c r="D38" s="7">
        <f>'Raw Calculations'!H38</f>
        <v>0</v>
      </c>
      <c r="E38" s="7">
        <f t="shared" si="1"/>
        <v>684000</v>
      </c>
    </row>
    <row r="39" spans="1:5">
      <c r="A39" t="s">
        <v>31</v>
      </c>
      <c r="B39" t="s">
        <v>36</v>
      </c>
      <c r="C39">
        <f>'Raw Calculations'!E39</f>
        <v>24.795</v>
      </c>
      <c r="D39" s="7">
        <f>'Raw Calculations'!H39</f>
        <v>0</v>
      </c>
      <c r="E39" s="7">
        <f t="shared" si="1"/>
        <v>24.795</v>
      </c>
    </row>
    <row r="40" spans="1:5">
      <c r="A40" t="s">
        <v>31</v>
      </c>
      <c r="B40" t="s">
        <v>36</v>
      </c>
      <c r="C40">
        <f>'Raw Calculations'!E40</f>
        <v>3.705</v>
      </c>
      <c r="D40" s="7">
        <f>'Raw Calculations'!H40</f>
        <v>0</v>
      </c>
      <c r="E40" s="7">
        <f t="shared" si="1"/>
        <v>3.705</v>
      </c>
    </row>
    <row r="41" spans="1:5">
      <c r="A41" t="s">
        <v>31</v>
      </c>
      <c r="B41" t="s">
        <v>37</v>
      </c>
      <c r="C41">
        <f>'Raw Calculations'!E41</f>
        <v>0</v>
      </c>
      <c r="D41" s="7">
        <f>'Raw Calculations'!H41</f>
        <v>3083.1471</v>
      </c>
      <c r="E41" s="7">
        <f t="shared" si="1"/>
        <v>3083.1471</v>
      </c>
    </row>
    <row r="42" spans="1:5">
      <c r="A42" t="s">
        <v>31</v>
      </c>
      <c r="B42" t="s">
        <v>38</v>
      </c>
      <c r="C42">
        <f>'Raw Calculations'!E42</f>
        <v>0</v>
      </c>
      <c r="D42" s="7">
        <f>'Raw Calculations'!H42</f>
        <v>15484.5999</v>
      </c>
      <c r="E42" s="7">
        <f t="shared" si="1"/>
        <v>15484.5999</v>
      </c>
    </row>
    <row r="43" spans="1:5">
      <c r="A43" t="s">
        <v>39</v>
      </c>
      <c r="B43" t="s">
        <v>40</v>
      </c>
      <c r="C43">
        <f>'Raw Calculations'!E43</f>
        <v>0</v>
      </c>
      <c r="D43" s="7">
        <f>'Raw Calculations'!H43</f>
        <v>732232.3347</v>
      </c>
      <c r="E43" s="7">
        <f t="shared" si="1"/>
        <v>732232.3347</v>
      </c>
    </row>
    <row r="44" spans="1:5">
      <c r="A44" t="s">
        <v>39</v>
      </c>
      <c r="B44" t="s">
        <v>41</v>
      </c>
      <c r="C44">
        <f>'Raw Calculations'!E44</f>
        <v>62700</v>
      </c>
      <c r="D44" s="7">
        <f>'Raw Calculations'!H44</f>
        <v>0</v>
      </c>
      <c r="E44" s="7">
        <f t="shared" si="1"/>
        <v>62700</v>
      </c>
    </row>
    <row r="45" spans="1:5">
      <c r="A45" t="s">
        <v>39</v>
      </c>
      <c r="B45" t="s">
        <v>41</v>
      </c>
      <c r="C45">
        <f>'Raw Calculations'!E45</f>
        <v>24.795</v>
      </c>
      <c r="D45" s="7">
        <f>'Raw Calculations'!H45</f>
        <v>0</v>
      </c>
      <c r="E45" s="7">
        <f t="shared" si="1"/>
        <v>24.795</v>
      </c>
    </row>
    <row r="46" spans="1:5">
      <c r="A46" t="s">
        <v>39</v>
      </c>
      <c r="B46" t="s">
        <v>41</v>
      </c>
      <c r="C46">
        <f>'Raw Calculations'!E46</f>
        <v>3.705</v>
      </c>
      <c r="D46" s="7">
        <f>'Raw Calculations'!H46</f>
        <v>0</v>
      </c>
      <c r="E46" s="7">
        <f t="shared" si="1"/>
        <v>3.705</v>
      </c>
    </row>
    <row r="47" spans="1:5">
      <c r="A47" t="s">
        <v>39</v>
      </c>
      <c r="B47" t="s">
        <v>42</v>
      </c>
      <c r="C47">
        <f>'Raw Calculations'!E47</f>
        <v>8977.5</v>
      </c>
      <c r="D47" s="7">
        <f>'Raw Calculations'!H47</f>
        <v>0</v>
      </c>
      <c r="E47" s="7">
        <f t="shared" si="1"/>
        <v>8977.5</v>
      </c>
    </row>
    <row r="48" spans="1:5">
      <c r="A48" t="s">
        <v>39</v>
      </c>
      <c r="B48" t="s">
        <v>43</v>
      </c>
      <c r="C48">
        <f>'Raw Calculations'!E48</f>
        <v>0</v>
      </c>
      <c r="D48" s="7">
        <f>'Raw Calculations'!H48</f>
        <v>20426.3532</v>
      </c>
      <c r="E48" s="7">
        <f t="shared" si="1"/>
        <v>20426.3532</v>
      </c>
    </row>
    <row r="49" spans="1:5">
      <c r="A49" t="s">
        <v>39</v>
      </c>
      <c r="B49" t="s">
        <v>44</v>
      </c>
      <c r="C49">
        <f>'Raw Calculations'!E49</f>
        <v>171000</v>
      </c>
      <c r="D49" s="7">
        <f>'Raw Calculations'!H49</f>
        <v>0</v>
      </c>
      <c r="E49" s="7">
        <f t="shared" si="1"/>
        <v>171000</v>
      </c>
    </row>
    <row r="50" spans="1:5">
      <c r="A50" t="s">
        <v>45</v>
      </c>
      <c r="B50" t="s">
        <v>46</v>
      </c>
      <c r="C50">
        <f>'Raw Calculations'!E50</f>
        <v>0</v>
      </c>
      <c r="D50" s="7">
        <f>'Raw Calculations'!H50</f>
        <v>698874.1929</v>
      </c>
      <c r="E50" s="7">
        <f t="shared" si="1"/>
        <v>698874.1929</v>
      </c>
    </row>
    <row r="51" spans="1:5">
      <c r="A51" t="s">
        <v>45</v>
      </c>
      <c r="B51" t="s">
        <v>47</v>
      </c>
      <c r="C51">
        <f>'Raw Calculations'!E51</f>
        <v>199500</v>
      </c>
      <c r="D51" s="7">
        <f>'Raw Calculations'!H51</f>
        <v>0</v>
      </c>
      <c r="E51" s="7">
        <f t="shared" si="1"/>
        <v>199500</v>
      </c>
    </row>
    <row r="52" spans="1:5">
      <c r="A52" t="s">
        <v>45</v>
      </c>
      <c r="B52" t="s">
        <v>48</v>
      </c>
      <c r="C52">
        <f>'Raw Calculations'!E52</f>
        <v>296400</v>
      </c>
      <c r="D52" s="7">
        <f>'Raw Calculations'!H52</f>
        <v>0</v>
      </c>
      <c r="E52" s="7">
        <f t="shared" si="1"/>
        <v>296400</v>
      </c>
    </row>
    <row r="53" spans="1:5">
      <c r="A53" t="s">
        <v>45</v>
      </c>
      <c r="B53" t="s">
        <v>49</v>
      </c>
      <c r="C53">
        <f>'Raw Calculations'!E53</f>
        <v>0</v>
      </c>
      <c r="D53" s="7">
        <f>'Raw Calculations'!H53</f>
        <v>4935.1599</v>
      </c>
      <c r="E53" s="7">
        <f t="shared" si="1"/>
        <v>4935.1599</v>
      </c>
    </row>
    <row r="54" spans="1:5">
      <c r="A54" t="s">
        <v>50</v>
      </c>
      <c r="B54" t="s">
        <v>51</v>
      </c>
      <c r="C54">
        <f>'Raw Calculations'!E54</f>
        <v>0</v>
      </c>
      <c r="D54" s="7">
        <f>'Raw Calculations'!H54</f>
        <v>771888.339</v>
      </c>
      <c r="E54" s="7">
        <f t="shared" si="1"/>
        <v>771888.339</v>
      </c>
    </row>
    <row r="55" spans="1:5">
      <c r="A55" t="s">
        <v>50</v>
      </c>
      <c r="B55" t="s">
        <v>52</v>
      </c>
      <c r="C55">
        <f>'Raw Calculations'!E55</f>
        <v>0</v>
      </c>
      <c r="D55" s="7">
        <f>'Raw Calculations'!H55</f>
        <v>2697.2667</v>
      </c>
      <c r="E55" s="7">
        <f t="shared" si="1"/>
        <v>2697.2667</v>
      </c>
    </row>
    <row r="56" spans="1:5">
      <c r="A56" t="s">
        <v>50</v>
      </c>
      <c r="B56" t="s">
        <v>53</v>
      </c>
      <c r="C56">
        <f>'Raw Calculations'!E56</f>
        <v>0</v>
      </c>
      <c r="D56" s="7">
        <f>'Raw Calculations'!H56</f>
        <v>3623.0733</v>
      </c>
      <c r="E56" s="7">
        <f t="shared" si="1"/>
        <v>3623.0733</v>
      </c>
    </row>
    <row r="57" spans="1:5">
      <c r="A57" t="s">
        <v>54</v>
      </c>
      <c r="B57" t="s">
        <v>55</v>
      </c>
      <c r="C57">
        <f>'Raw Calculations'!E57</f>
        <v>0</v>
      </c>
      <c r="D57" s="7">
        <f>'Raw Calculations'!H57</f>
        <v>706159.2672</v>
      </c>
      <c r="E57" s="7">
        <f t="shared" si="1"/>
        <v>706159.2672</v>
      </c>
    </row>
    <row r="58" spans="1:5">
      <c r="A58" t="s">
        <v>54</v>
      </c>
      <c r="B58" t="s">
        <v>56</v>
      </c>
      <c r="C58">
        <f>'Raw Calculations'!E58</f>
        <v>2251500</v>
      </c>
      <c r="D58" s="7">
        <f>'Raw Calculations'!H58</f>
        <v>0</v>
      </c>
      <c r="E58" s="7">
        <f t="shared" si="1"/>
        <v>2251500</v>
      </c>
    </row>
    <row r="59" spans="1:5">
      <c r="A59" t="s">
        <v>54</v>
      </c>
      <c r="B59" t="s">
        <v>57</v>
      </c>
      <c r="C59">
        <f>'Raw Calculations'!E59</f>
        <v>0</v>
      </c>
      <c r="D59" s="7">
        <f>'Raw Calculations'!H59</f>
        <v>11535.1533</v>
      </c>
      <c r="E59" s="7">
        <f t="shared" si="1"/>
        <v>11535.1533</v>
      </c>
    </row>
    <row r="60" spans="1:5">
      <c r="A60" t="s">
        <v>58</v>
      </c>
      <c r="B60" t="s">
        <v>59</v>
      </c>
      <c r="C60">
        <f>'Raw Calculations'!E60</f>
        <v>0</v>
      </c>
      <c r="D60" s="7">
        <f>'Raw Calculations'!H60</f>
        <v>549078.0723</v>
      </c>
      <c r="E60" s="7">
        <f t="shared" si="1"/>
        <v>549078.0723</v>
      </c>
    </row>
    <row r="61" spans="1:5">
      <c r="A61" t="s">
        <v>58</v>
      </c>
      <c r="B61" t="s">
        <v>60</v>
      </c>
      <c r="C61">
        <f>'Raw Calculations'!E61</f>
        <v>0</v>
      </c>
      <c r="D61" s="7">
        <f>'Raw Calculations'!H61</f>
        <v>797242.8591</v>
      </c>
      <c r="E61" s="7">
        <f t="shared" si="1"/>
        <v>797242.8591</v>
      </c>
    </row>
    <row r="62" spans="1:5">
      <c r="A62" t="s">
        <v>58</v>
      </c>
      <c r="B62" t="s">
        <v>61</v>
      </c>
      <c r="C62">
        <f>'Raw Calculations'!E62</f>
        <v>0</v>
      </c>
      <c r="D62" s="7">
        <f>'Raw Calculations'!H62</f>
        <v>149.8167</v>
      </c>
      <c r="E62" s="7">
        <f t="shared" si="1"/>
        <v>149.8167</v>
      </c>
    </row>
    <row r="63" spans="1:5">
      <c r="A63" t="s">
        <v>58</v>
      </c>
      <c r="B63" t="s">
        <v>62</v>
      </c>
      <c r="C63">
        <f>'Raw Calculations'!E63</f>
        <v>0</v>
      </c>
      <c r="D63" s="7">
        <f>'Raw Calculations'!H63</f>
        <v>5674.2201</v>
      </c>
      <c r="E63" s="7">
        <f t="shared" si="1"/>
        <v>5674.2201</v>
      </c>
    </row>
    <row r="64" spans="1:5">
      <c r="A64" t="s">
        <v>58</v>
      </c>
      <c r="B64" t="s">
        <v>63</v>
      </c>
      <c r="C64">
        <f>'Raw Calculations'!E64</f>
        <v>0</v>
      </c>
      <c r="D64" s="7">
        <f>'Raw Calculations'!H64</f>
        <v>209.7567</v>
      </c>
      <c r="E64" s="7">
        <f t="shared" si="1"/>
        <v>209.7567</v>
      </c>
    </row>
    <row r="65" spans="1:5">
      <c r="A65" t="s">
        <v>58</v>
      </c>
      <c r="B65" t="s">
        <v>64</v>
      </c>
      <c r="C65">
        <f>'Raw Calculations'!E65</f>
        <v>0</v>
      </c>
      <c r="D65" s="7">
        <f>'Raw Calculations'!H65</f>
        <v>13180.2066</v>
      </c>
      <c r="E65" s="7">
        <f t="shared" si="1"/>
        <v>13180.2066</v>
      </c>
    </row>
    <row r="66" spans="1:5">
      <c r="A66" t="s">
        <v>65</v>
      </c>
      <c r="B66" t="s">
        <v>66</v>
      </c>
      <c r="C66">
        <f>'Raw Calculations'!E66</f>
        <v>0</v>
      </c>
      <c r="D66" s="7">
        <f>'Raw Calculations'!H66</f>
        <v>731579.7213</v>
      </c>
      <c r="E66" s="7">
        <f t="shared" si="1"/>
        <v>731579.7213</v>
      </c>
    </row>
    <row r="67" spans="1:5">
      <c r="A67" t="s">
        <v>65</v>
      </c>
      <c r="B67" t="s">
        <v>67</v>
      </c>
      <c r="C67">
        <f>'Raw Calculations'!E67</f>
        <v>0</v>
      </c>
      <c r="D67" s="7">
        <f>'Raw Calculations'!H67</f>
        <v>3623.0733</v>
      </c>
      <c r="E67" s="7">
        <f t="shared" ref="E67:E98" si="2">C67+D67</f>
        <v>3623.0733</v>
      </c>
    </row>
    <row r="68" spans="1:5">
      <c r="A68" t="s">
        <v>68</v>
      </c>
      <c r="B68" t="s">
        <v>69</v>
      </c>
      <c r="C68">
        <f>'Raw Calculations'!E68</f>
        <v>0</v>
      </c>
      <c r="D68" s="7">
        <f>'Raw Calculations'!H68</f>
        <v>723802.7061</v>
      </c>
      <c r="E68" s="7">
        <f t="shared" si="2"/>
        <v>723802.7061</v>
      </c>
    </row>
    <row r="69" spans="1:5">
      <c r="A69" t="s">
        <v>68</v>
      </c>
      <c r="B69" t="s">
        <v>70</v>
      </c>
      <c r="C69">
        <f>'Raw Calculations'!E69</f>
        <v>36913.2</v>
      </c>
      <c r="D69" s="7">
        <f>'Raw Calculations'!H69</f>
        <v>0</v>
      </c>
      <c r="E69" s="7">
        <f t="shared" si="2"/>
        <v>36913.2</v>
      </c>
    </row>
    <row r="70" spans="1:5">
      <c r="A70" t="s">
        <v>68</v>
      </c>
      <c r="B70" t="s">
        <v>71</v>
      </c>
      <c r="C70">
        <f>'Raw Calculations'!E70</f>
        <v>16031.25</v>
      </c>
      <c r="D70" s="7">
        <f>'Raw Calculations'!H70</f>
        <v>0</v>
      </c>
      <c r="E70" s="7">
        <f t="shared" si="2"/>
        <v>16031.25</v>
      </c>
    </row>
    <row r="71" spans="1:5">
      <c r="A71" t="s">
        <v>68</v>
      </c>
      <c r="B71" t="s">
        <v>72</v>
      </c>
      <c r="C71">
        <f>'Raw Calculations'!E71</f>
        <v>171000</v>
      </c>
      <c r="D71" s="7">
        <f>'Raw Calculations'!H71</f>
        <v>0</v>
      </c>
      <c r="E71" s="7">
        <f t="shared" si="2"/>
        <v>171000</v>
      </c>
    </row>
    <row r="72" spans="1:5">
      <c r="A72" t="s">
        <v>68</v>
      </c>
      <c r="B72" t="s">
        <v>73</v>
      </c>
      <c r="C72">
        <f>'Raw Calculations'!E72</f>
        <v>0</v>
      </c>
      <c r="D72" s="7">
        <f>'Raw Calculations'!H72</f>
        <v>299.6667</v>
      </c>
      <c r="E72" s="7">
        <f t="shared" si="2"/>
        <v>299.6667</v>
      </c>
    </row>
    <row r="73" spans="1:5">
      <c r="A73" t="s">
        <v>68</v>
      </c>
      <c r="B73" t="s">
        <v>74</v>
      </c>
      <c r="C73">
        <f>'Raw Calculations'!E73</f>
        <v>0</v>
      </c>
      <c r="D73" s="7">
        <f>'Raw Calculations'!H73</f>
        <v>2951.9118</v>
      </c>
      <c r="E73" s="7">
        <f t="shared" si="2"/>
        <v>2951.9118</v>
      </c>
    </row>
    <row r="74" spans="1:5">
      <c r="A74" t="s">
        <v>75</v>
      </c>
      <c r="B74" t="s">
        <v>76</v>
      </c>
      <c r="C74">
        <f>'Raw Calculations'!E74</f>
        <v>0</v>
      </c>
      <c r="D74" s="7">
        <f>'Raw Calculations'!H74</f>
        <v>787698.1467</v>
      </c>
      <c r="E74" s="7">
        <f t="shared" si="2"/>
        <v>787698.1467</v>
      </c>
    </row>
    <row r="75" spans="1:5">
      <c r="A75" t="s">
        <v>75</v>
      </c>
      <c r="B75" t="s">
        <v>77</v>
      </c>
      <c r="C75">
        <f>'Raw Calculations'!E75</f>
        <v>0</v>
      </c>
      <c r="D75" s="7">
        <f>'Raw Calculations'!H75</f>
        <v>149.8167</v>
      </c>
      <c r="E75" s="7">
        <f t="shared" si="2"/>
        <v>149.8167</v>
      </c>
    </row>
    <row r="76" spans="1:5">
      <c r="A76" t="s">
        <v>78</v>
      </c>
      <c r="B76" t="s">
        <v>79</v>
      </c>
      <c r="C76">
        <f>'Raw Calculations'!E76</f>
        <v>0</v>
      </c>
      <c r="D76" s="7">
        <f>'Raw Calculations'!H76</f>
        <v>647537.6142</v>
      </c>
      <c r="E76" s="7">
        <f t="shared" si="2"/>
        <v>647537.6142</v>
      </c>
    </row>
    <row r="77" spans="1:5">
      <c r="A77" t="s">
        <v>78</v>
      </c>
      <c r="B77" t="s">
        <v>80</v>
      </c>
      <c r="C77">
        <f>'Raw Calculations'!E77</f>
        <v>0</v>
      </c>
      <c r="D77" s="7">
        <f>'Raw Calculations'!H77</f>
        <v>557245.3635</v>
      </c>
      <c r="E77" s="7">
        <f t="shared" si="2"/>
        <v>557245.3635</v>
      </c>
    </row>
    <row r="78" spans="1:5">
      <c r="A78" t="s">
        <v>78</v>
      </c>
      <c r="B78" t="s">
        <v>81</v>
      </c>
      <c r="C78">
        <f>'Raw Calculations'!E78</f>
        <v>0</v>
      </c>
      <c r="D78" s="7">
        <f>'Raw Calculations'!H78</f>
        <v>209.7567</v>
      </c>
      <c r="E78" s="7">
        <f t="shared" si="2"/>
        <v>209.7567</v>
      </c>
    </row>
    <row r="79" spans="1:5">
      <c r="A79" t="s">
        <v>78</v>
      </c>
      <c r="B79" t="s">
        <v>82</v>
      </c>
      <c r="C79">
        <f>'Raw Calculations'!E79</f>
        <v>0</v>
      </c>
      <c r="D79" s="7">
        <f>'Raw Calculations'!H79</f>
        <v>15376.5414</v>
      </c>
      <c r="E79" s="7">
        <f t="shared" si="2"/>
        <v>15376.5414</v>
      </c>
    </row>
    <row r="80" spans="1:5">
      <c r="A80" t="s">
        <v>78</v>
      </c>
      <c r="B80" t="s">
        <v>83</v>
      </c>
      <c r="C80">
        <f>'Raw Calculations'!E80</f>
        <v>0</v>
      </c>
      <c r="D80" s="7">
        <f>'Raw Calculations'!H80</f>
        <v>7246.1466</v>
      </c>
      <c r="E80" s="7">
        <f t="shared" si="2"/>
        <v>7246.1466</v>
      </c>
    </row>
    <row r="81" spans="1:5">
      <c r="A81" t="s">
        <v>84</v>
      </c>
      <c r="B81" t="s">
        <v>85</v>
      </c>
      <c r="C81">
        <f>'Raw Calculations'!E81</f>
        <v>0</v>
      </c>
      <c r="D81" s="7">
        <f>'Raw Calculations'!H81</f>
        <v>1067980.8168</v>
      </c>
      <c r="E81" s="7">
        <f t="shared" si="2"/>
        <v>1067980.8168</v>
      </c>
    </row>
    <row r="82" spans="1:5">
      <c r="A82" t="s">
        <v>84</v>
      </c>
      <c r="B82" t="s">
        <v>86</v>
      </c>
      <c r="C82">
        <f>'Raw Calculations'!E82</f>
        <v>128250</v>
      </c>
      <c r="D82" s="7">
        <f>'Raw Calculations'!H82</f>
        <v>0</v>
      </c>
      <c r="E82" s="7">
        <f t="shared" si="2"/>
        <v>128250</v>
      </c>
    </row>
    <row r="83" spans="1:5">
      <c r="A83" t="s">
        <v>84</v>
      </c>
      <c r="B83" t="s">
        <v>87</v>
      </c>
      <c r="C83">
        <f>'Raw Calculations'!E83</f>
        <v>0</v>
      </c>
      <c r="D83" s="7">
        <f>'Raw Calculations'!H83</f>
        <v>5268.1266</v>
      </c>
      <c r="E83" s="7">
        <f t="shared" si="2"/>
        <v>5268.1266</v>
      </c>
    </row>
    <row r="84" spans="1:5">
      <c r="A84" t="s">
        <v>88</v>
      </c>
      <c r="B84" t="s">
        <v>89</v>
      </c>
      <c r="C84">
        <f>'Raw Calculations'!E84</f>
        <v>0</v>
      </c>
      <c r="D84" s="7">
        <f>'Raw Calculations'!H84</f>
        <v>743125.8303</v>
      </c>
      <c r="E84" s="7">
        <f t="shared" si="2"/>
        <v>743125.8303</v>
      </c>
    </row>
    <row r="85" spans="1:5">
      <c r="A85" t="s">
        <v>88</v>
      </c>
      <c r="B85" t="s">
        <v>90</v>
      </c>
      <c r="C85">
        <f>'Raw Calculations'!E85</f>
        <v>0</v>
      </c>
      <c r="D85" s="7">
        <f>'Raw Calculations'!H85</f>
        <v>149.8167</v>
      </c>
      <c r="E85" s="7">
        <f t="shared" si="2"/>
        <v>149.8167</v>
      </c>
    </row>
    <row r="86" spans="1:5">
      <c r="A86" t="s">
        <v>88</v>
      </c>
      <c r="B86" t="s">
        <v>91</v>
      </c>
      <c r="C86">
        <f>'Raw Calculations'!E86</f>
        <v>0</v>
      </c>
      <c r="D86" s="7">
        <f>'Raw Calculations'!H86</f>
        <v>61298.8398</v>
      </c>
      <c r="E86" s="7">
        <f t="shared" si="2"/>
        <v>61298.8398</v>
      </c>
    </row>
    <row r="87" spans="1:5">
      <c r="A87" t="s">
        <v>92</v>
      </c>
      <c r="B87" t="s">
        <v>93</v>
      </c>
      <c r="C87">
        <f>'Raw Calculations'!E87</f>
        <v>0</v>
      </c>
      <c r="D87" s="7">
        <f>'Raw Calculations'!H87</f>
        <v>870751.7433</v>
      </c>
      <c r="E87" s="7">
        <f t="shared" si="2"/>
        <v>870751.7433</v>
      </c>
    </row>
    <row r="88" spans="1:5">
      <c r="A88" t="s">
        <v>92</v>
      </c>
      <c r="B88" t="s">
        <v>94</v>
      </c>
      <c r="C88">
        <f>'Raw Calculations'!E88</f>
        <v>0</v>
      </c>
      <c r="D88" s="7">
        <f>'Raw Calculations'!H88</f>
        <v>18454.9266</v>
      </c>
      <c r="E88" s="7">
        <f t="shared" si="2"/>
        <v>18454.9266</v>
      </c>
    </row>
    <row r="89" spans="1:5">
      <c r="A89" t="s">
        <v>92</v>
      </c>
      <c r="B89" t="s">
        <v>95</v>
      </c>
      <c r="C89">
        <f>'Raw Calculations'!E89</f>
        <v>114000</v>
      </c>
      <c r="D89" s="7">
        <f>'Raw Calculations'!H89</f>
        <v>0</v>
      </c>
      <c r="E89" s="7">
        <f t="shared" si="2"/>
        <v>114000</v>
      </c>
    </row>
    <row r="90" spans="1:5">
      <c r="A90" t="s">
        <v>92</v>
      </c>
      <c r="B90" t="s">
        <v>96</v>
      </c>
      <c r="C90">
        <f>'Raw Calculations'!E90</f>
        <v>84075</v>
      </c>
      <c r="D90" s="7">
        <f>'Raw Calculations'!H90</f>
        <v>0</v>
      </c>
      <c r="E90" s="7">
        <f t="shared" si="2"/>
        <v>84075</v>
      </c>
    </row>
    <row r="91" spans="1:5">
      <c r="A91" t="s">
        <v>92</v>
      </c>
      <c r="B91" t="s">
        <v>97</v>
      </c>
      <c r="C91">
        <f>'Raw Calculations'!E91</f>
        <v>155325</v>
      </c>
      <c r="D91" s="7">
        <f>'Raw Calculations'!H91</f>
        <v>0</v>
      </c>
      <c r="E91" s="7">
        <f t="shared" si="2"/>
        <v>155325</v>
      </c>
    </row>
    <row r="92" spans="1:5">
      <c r="A92" t="s">
        <v>98</v>
      </c>
      <c r="B92" t="s">
        <v>99</v>
      </c>
      <c r="C92">
        <f>'Raw Calculations'!E92</f>
        <v>0</v>
      </c>
      <c r="D92" s="7">
        <f>'Raw Calculations'!H92</f>
        <v>772659.4005</v>
      </c>
      <c r="E92" s="7">
        <f t="shared" si="2"/>
        <v>772659.4005</v>
      </c>
    </row>
    <row r="93" spans="1:5">
      <c r="A93" t="s">
        <v>98</v>
      </c>
      <c r="B93" t="s">
        <v>100</v>
      </c>
      <c r="C93">
        <f>'Raw Calculations'!E93</f>
        <v>0</v>
      </c>
      <c r="D93" s="7">
        <f>'Raw Calculations'!H93</f>
        <v>13180.2066</v>
      </c>
      <c r="E93" s="7">
        <f t="shared" si="2"/>
        <v>13180.2066</v>
      </c>
    </row>
    <row r="94" spans="1:5">
      <c r="A94" t="s">
        <v>101</v>
      </c>
      <c r="B94" t="s">
        <v>102</v>
      </c>
      <c r="C94">
        <f>'Raw Calculations'!E94</f>
        <v>1368000</v>
      </c>
      <c r="D94" s="7">
        <f>'Raw Calculations'!H94</f>
        <v>0</v>
      </c>
      <c r="E94" s="7">
        <f t="shared" si="2"/>
        <v>1368000</v>
      </c>
    </row>
    <row r="95" spans="1:5">
      <c r="A95" t="s">
        <v>103</v>
      </c>
      <c r="B95" t="s">
        <v>104</v>
      </c>
      <c r="C95">
        <f>'Raw Calculations'!E95</f>
        <v>0</v>
      </c>
      <c r="D95" s="7">
        <f>'Raw Calculations'!H95</f>
        <v>597826.8081</v>
      </c>
      <c r="E95" s="7">
        <f t="shared" si="2"/>
        <v>597826.8081</v>
      </c>
    </row>
    <row r="96" spans="1:5">
      <c r="A96" t="s">
        <v>103</v>
      </c>
      <c r="B96" t="s">
        <v>105</v>
      </c>
      <c r="C96">
        <f>'Raw Calculations'!E96</f>
        <v>0</v>
      </c>
      <c r="D96" s="7">
        <f>'Raw Calculations'!H96</f>
        <v>551833.7805</v>
      </c>
      <c r="E96" s="7">
        <f t="shared" si="2"/>
        <v>551833.7805</v>
      </c>
    </row>
    <row r="97" spans="1:5">
      <c r="A97" t="s">
        <v>103</v>
      </c>
      <c r="B97" t="s">
        <v>106</v>
      </c>
      <c r="C97">
        <f>'Raw Calculations'!E97</f>
        <v>0</v>
      </c>
      <c r="D97" s="7">
        <f>'Raw Calculations'!H97</f>
        <v>149.8167</v>
      </c>
      <c r="E97" s="7">
        <f t="shared" si="2"/>
        <v>149.8167</v>
      </c>
    </row>
    <row r="98" spans="1:5">
      <c r="A98" t="s">
        <v>103</v>
      </c>
      <c r="B98" t="s">
        <v>107</v>
      </c>
      <c r="C98">
        <f>'Raw Calculations'!E98</f>
        <v>0</v>
      </c>
      <c r="D98" s="7">
        <f>'Raw Calculations'!H98</f>
        <v>33836.9625</v>
      </c>
      <c r="E98" s="7">
        <f t="shared" si="2"/>
        <v>33836.9625</v>
      </c>
    </row>
    <row r="99" spans="1:5">
      <c r="A99" t="s">
        <v>103</v>
      </c>
      <c r="B99" t="s">
        <v>108</v>
      </c>
      <c r="C99">
        <f>'Raw Calculations'!E99</f>
        <v>0</v>
      </c>
      <c r="D99" s="7">
        <f>'Raw Calculations'!H99</f>
        <v>51408.7398</v>
      </c>
      <c r="E99" s="7">
        <f>C99+D99</f>
        <v>51408.7398</v>
      </c>
    </row>
    <row r="100" spans="1:5">
      <c r="A100" t="s">
        <v>103</v>
      </c>
      <c r="B100" t="s">
        <v>109</v>
      </c>
      <c r="C100">
        <f>'Raw Calculations'!E100</f>
        <v>0</v>
      </c>
      <c r="D100" s="7">
        <f>'Raw Calculations'!H100</f>
        <v>14.9184</v>
      </c>
      <c r="E100" s="7">
        <f>C100+D100</f>
        <v>14.9184</v>
      </c>
    </row>
    <row r="101" spans="1:5">
      <c r="A101" t="s">
        <v>110</v>
      </c>
      <c r="B101" t="s">
        <v>111</v>
      </c>
      <c r="C101">
        <f>'Raw Calculations'!E101</f>
        <v>1482000</v>
      </c>
      <c r="D101" s="7">
        <f>'Raw Calculations'!H101</f>
        <v>0</v>
      </c>
      <c r="E101" s="7">
        <f>C101+D101</f>
        <v>1482000</v>
      </c>
    </row>
    <row r="102" spans="1:5">
      <c r="A102" t="s">
        <v>110</v>
      </c>
      <c r="B102" t="s">
        <v>112</v>
      </c>
      <c r="C102">
        <f>'Raw Calculations'!E102</f>
        <v>142500</v>
      </c>
      <c r="D102" s="7">
        <f>'Raw Calculations'!H102</f>
        <v>0</v>
      </c>
      <c r="E102" s="7">
        <f>C102+D102</f>
        <v>142500</v>
      </c>
    </row>
    <row r="103" spans="1:5">
      <c r="A103" t="s">
        <v>110</v>
      </c>
      <c r="B103" t="s">
        <v>113</v>
      </c>
      <c r="C103">
        <f>'Raw Calculations'!E103</f>
        <v>114000</v>
      </c>
      <c r="D103" s="7">
        <f>'Raw Calculations'!H103</f>
        <v>0</v>
      </c>
      <c r="E103" s="7">
        <f>C103+D103</f>
        <v>114000</v>
      </c>
    </row>
    <row r="104" spans="1:5">
      <c r="A104" t="s">
        <v>110</v>
      </c>
      <c r="B104" t="s">
        <v>114</v>
      </c>
      <c r="C104">
        <f>'Raw Calculations'!E104</f>
        <v>0</v>
      </c>
      <c r="D104" s="7">
        <f>'Raw Calculations'!H104</f>
        <v>376081.8417</v>
      </c>
      <c r="E104" s="7">
        <f>C104+D104</f>
        <v>376081.8417</v>
      </c>
    </row>
    <row r="105" spans="1:5">
      <c r="A105" t="s">
        <v>110</v>
      </c>
      <c r="B105" t="s">
        <v>115</v>
      </c>
      <c r="C105">
        <f>'Raw Calculations'!E105</f>
        <v>0</v>
      </c>
      <c r="D105" s="7">
        <f>'Raw Calculations'!H105</f>
        <v>12187.8999</v>
      </c>
      <c r="E105" s="7">
        <f>C105+D105</f>
        <v>12187.8999</v>
      </c>
    </row>
    <row r="106" spans="1:5">
      <c r="A106" t="s">
        <v>116</v>
      </c>
      <c r="B106" t="s">
        <v>117</v>
      </c>
      <c r="C106">
        <f>'Raw Calculations'!E106</f>
        <v>0</v>
      </c>
      <c r="D106" s="7">
        <f>'Raw Calculations'!H106</f>
        <v>765885.3147</v>
      </c>
      <c r="E106" s="7">
        <f>C106+D106</f>
        <v>765885.3147</v>
      </c>
    </row>
    <row r="107" spans="1:5">
      <c r="A107" t="s">
        <v>116</v>
      </c>
      <c r="B107" t="s">
        <v>118</v>
      </c>
      <c r="C107">
        <f>'Raw Calculations'!E107</f>
        <v>203356.05</v>
      </c>
      <c r="D107" s="7">
        <f>'Raw Calculations'!H107</f>
        <v>0</v>
      </c>
      <c r="E107" s="7">
        <f>C107+D107</f>
        <v>203356.05</v>
      </c>
    </row>
    <row r="108" spans="1:5">
      <c r="A108" t="s">
        <v>116</v>
      </c>
      <c r="B108" t="s">
        <v>119</v>
      </c>
      <c r="C108">
        <f>'Raw Calculations'!E108</f>
        <v>0</v>
      </c>
      <c r="D108" s="7">
        <f>'Raw Calculations'!H108</f>
        <v>149.8167</v>
      </c>
      <c r="E108" s="7">
        <f>C108+D108</f>
        <v>149.8167</v>
      </c>
    </row>
    <row r="109" spans="1:5">
      <c r="A109" t="s">
        <v>116</v>
      </c>
      <c r="B109" t="s">
        <v>120</v>
      </c>
      <c r="C109">
        <f>'Raw Calculations'!E109</f>
        <v>0</v>
      </c>
      <c r="D109" s="7">
        <f>'Raw Calculations'!H109</f>
        <v>25374.6999</v>
      </c>
      <c r="E109" s="7">
        <f>C109+D109</f>
        <v>25374.6999</v>
      </c>
    </row>
    <row r="110" spans="1:5">
      <c r="A110" t="s">
        <v>121</v>
      </c>
      <c r="B110" t="s">
        <v>122</v>
      </c>
      <c r="C110">
        <f>'Raw Calculations'!E110</f>
        <v>0</v>
      </c>
      <c r="D110" s="7">
        <f>'Raw Calculations'!H110</f>
        <v>716054.7951</v>
      </c>
      <c r="E110" s="7">
        <f>C110+D110</f>
        <v>716054.7951</v>
      </c>
    </row>
    <row r="111" spans="1:5">
      <c r="A111" t="s">
        <v>123</v>
      </c>
      <c r="B111" t="s">
        <v>124</v>
      </c>
      <c r="C111">
        <f>'Raw Calculations'!E111</f>
        <v>0</v>
      </c>
      <c r="D111" s="7">
        <f>'Raw Calculations'!H111</f>
        <v>879899.7528</v>
      </c>
      <c r="E111" s="7">
        <f>C111+D111</f>
        <v>879899.7528</v>
      </c>
    </row>
    <row r="112" spans="1:5">
      <c r="A112" t="s">
        <v>123</v>
      </c>
      <c r="B112" t="s">
        <v>125</v>
      </c>
      <c r="C112">
        <f>'Raw Calculations'!E112</f>
        <v>0</v>
      </c>
      <c r="D112" s="7">
        <f>'Raw Calculations'!H112</f>
        <v>3623.0733</v>
      </c>
      <c r="E112" s="7">
        <f>C112+D112</f>
        <v>3623.0733</v>
      </c>
    </row>
    <row r="113" spans="1:5">
      <c r="A113" t="s">
        <v>123</v>
      </c>
      <c r="B113" t="s">
        <v>126</v>
      </c>
      <c r="C113">
        <f>'Raw Calculations'!E113</f>
        <v>0</v>
      </c>
      <c r="D113" s="7">
        <f>'Raw Calculations'!H113</f>
        <v>1645.0533</v>
      </c>
      <c r="E113" s="7">
        <f>C113+D113</f>
        <v>1645.0533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9"/>
  <sheetViews>
    <sheetView workbookViewId="0">
      <pane ySplit="1" topLeftCell="A111" activePane="bottomLeft" state="frozen"/>
      <selection/>
      <selection pane="bottomLeft" activeCell="A2" sqref="A2:E139"/>
    </sheetView>
  </sheetViews>
  <sheetFormatPr defaultColWidth="9" defaultRowHeight="16.8" outlineLevelCol="4"/>
  <cols>
    <col min="1" max="1" width="11" customWidth="1"/>
    <col min="2" max="2" width="19.375" customWidth="1"/>
    <col min="3" max="3" width="13.3125"/>
    <col min="4" max="5" width="14.0625"/>
  </cols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127</v>
      </c>
      <c r="B2" t="s">
        <v>128</v>
      </c>
      <c r="C2" s="3">
        <f>'Raw Calculations'!E117</f>
        <v>0</v>
      </c>
      <c r="D2" s="7">
        <f>'Raw Calculations'!H117</f>
        <v>1155291.8023</v>
      </c>
      <c r="E2" s="7">
        <f>C2+D2</f>
        <v>1155291.8023</v>
      </c>
    </row>
    <row r="3" spans="1:5">
      <c r="A3" t="s">
        <v>127</v>
      </c>
      <c r="B3" t="s">
        <v>129</v>
      </c>
      <c r="C3" s="3">
        <f>'Raw Calculations'!E118</f>
        <v>0</v>
      </c>
      <c r="D3" s="7">
        <f>'Raw Calculations'!H118</f>
        <v>624031.9283</v>
      </c>
      <c r="E3" s="7">
        <f t="shared" ref="E3:E34" si="0">C3+D3</f>
        <v>624031.9283</v>
      </c>
    </row>
    <row r="4" spans="1:5">
      <c r="A4" t="s">
        <v>127</v>
      </c>
      <c r="B4" t="s">
        <v>130</v>
      </c>
      <c r="C4" s="3">
        <f>'Raw Calculations'!E119</f>
        <v>0</v>
      </c>
      <c r="D4" s="7">
        <f>'Raw Calculations'!H119</f>
        <v>7964.8874</v>
      </c>
      <c r="E4" s="7">
        <f t="shared" si="0"/>
        <v>7964.8874</v>
      </c>
    </row>
    <row r="5" spans="1:5">
      <c r="A5" t="s">
        <v>127</v>
      </c>
      <c r="B5" t="s">
        <v>131</v>
      </c>
      <c r="C5" s="3">
        <f>'Raw Calculations'!E120</f>
        <v>0</v>
      </c>
      <c r="D5" s="7">
        <f>'Raw Calculations'!H120</f>
        <v>162.4139</v>
      </c>
      <c r="E5" s="7">
        <f t="shared" si="0"/>
        <v>162.4139</v>
      </c>
    </row>
    <row r="6" spans="1:5">
      <c r="A6" t="s">
        <v>127</v>
      </c>
      <c r="B6" t="s">
        <v>132</v>
      </c>
      <c r="C6" s="3">
        <f>'Raw Calculations'!E121</f>
        <v>159600</v>
      </c>
      <c r="D6" s="7">
        <f>'Raw Calculations'!H121</f>
        <v>0</v>
      </c>
      <c r="E6" s="7">
        <f t="shared" si="0"/>
        <v>159600</v>
      </c>
    </row>
    <row r="7" spans="1:5">
      <c r="A7" t="s">
        <v>127</v>
      </c>
      <c r="B7" t="s">
        <v>133</v>
      </c>
      <c r="C7" s="3">
        <f>'Raw Calculations'!E122</f>
        <v>1995</v>
      </c>
      <c r="D7" s="7">
        <f>'Raw Calculations'!H122</f>
        <v>0</v>
      </c>
      <c r="E7" s="7">
        <f t="shared" si="0"/>
        <v>1995</v>
      </c>
    </row>
    <row r="8" spans="1:5">
      <c r="A8" t="s">
        <v>127</v>
      </c>
      <c r="B8" t="s">
        <v>133</v>
      </c>
      <c r="C8" s="3">
        <f>'Raw Calculations'!E123</f>
        <v>299.25</v>
      </c>
      <c r="D8" s="7">
        <f>'Raw Calculations'!H123</f>
        <v>0</v>
      </c>
      <c r="E8" s="7">
        <f t="shared" si="0"/>
        <v>299.25</v>
      </c>
    </row>
    <row r="9" spans="1:5">
      <c r="A9" t="s">
        <v>127</v>
      </c>
      <c r="B9" t="s">
        <v>134</v>
      </c>
      <c r="C9" s="3">
        <f>'Raw Calculations'!E124</f>
        <v>117040</v>
      </c>
      <c r="D9" s="7">
        <f>'Raw Calculations'!H124</f>
        <v>0</v>
      </c>
      <c r="E9" s="7">
        <f t="shared" si="0"/>
        <v>117040</v>
      </c>
    </row>
    <row r="10" spans="1:5">
      <c r="A10" t="s">
        <v>127</v>
      </c>
      <c r="B10" t="s">
        <v>135</v>
      </c>
      <c r="C10" s="3">
        <f>'Raw Calculations'!E125</f>
        <v>31920</v>
      </c>
      <c r="D10" s="7">
        <f>'Raw Calculations'!H125</f>
        <v>0</v>
      </c>
      <c r="E10" s="7">
        <f t="shared" si="0"/>
        <v>31920</v>
      </c>
    </row>
    <row r="11" spans="1:5">
      <c r="A11" t="s">
        <v>127</v>
      </c>
      <c r="B11" t="s">
        <v>136</v>
      </c>
      <c r="C11" s="3">
        <f>'Raw Calculations'!E126</f>
        <v>45220</v>
      </c>
      <c r="D11" s="7">
        <f>'Raw Calculations'!H126</f>
        <v>0</v>
      </c>
      <c r="E11" s="7">
        <f t="shared" si="0"/>
        <v>45220</v>
      </c>
    </row>
    <row r="12" spans="1:5">
      <c r="A12" t="s">
        <v>127</v>
      </c>
      <c r="B12" t="s">
        <v>137</v>
      </c>
      <c r="C12" s="3">
        <f>'Raw Calculations'!E127</f>
        <v>638400</v>
      </c>
      <c r="D12" s="7">
        <f>'Raw Calculations'!H127</f>
        <v>0</v>
      </c>
      <c r="E12" s="7">
        <f t="shared" si="0"/>
        <v>638400</v>
      </c>
    </row>
    <row r="13" spans="1:5">
      <c r="A13" t="s">
        <v>127</v>
      </c>
      <c r="B13" t="s">
        <v>138</v>
      </c>
      <c r="C13" s="3">
        <f>'Raw Calculations'!E128</f>
        <v>30145.78</v>
      </c>
      <c r="D13" s="7">
        <f>'Raw Calculations'!H128</f>
        <v>0</v>
      </c>
      <c r="E13" s="7">
        <f t="shared" si="0"/>
        <v>30145.78</v>
      </c>
    </row>
    <row r="14" spans="1:5">
      <c r="A14" t="s">
        <v>127</v>
      </c>
      <c r="B14" t="s">
        <v>139</v>
      </c>
      <c r="C14" s="3">
        <f>'Raw Calculations'!E129</f>
        <v>26600</v>
      </c>
      <c r="D14" s="7">
        <f>'Raw Calculations'!H129</f>
        <v>0</v>
      </c>
      <c r="E14" s="7">
        <f t="shared" si="0"/>
        <v>26600</v>
      </c>
    </row>
    <row r="15" spans="1:5">
      <c r="A15" t="s">
        <v>127</v>
      </c>
      <c r="B15" t="s">
        <v>140</v>
      </c>
      <c r="C15" s="3">
        <f>'Raw Calculations'!E130</f>
        <v>94430</v>
      </c>
      <c r="D15" s="7">
        <f>'Raw Calculations'!H130</f>
        <v>0</v>
      </c>
      <c r="E15" s="7">
        <f t="shared" si="0"/>
        <v>94430</v>
      </c>
    </row>
    <row r="16" spans="1:5">
      <c r="A16" t="s">
        <v>141</v>
      </c>
      <c r="B16" t="s">
        <v>142</v>
      </c>
      <c r="C16" s="3">
        <f>'Raw Calculations'!E131</f>
        <v>638400</v>
      </c>
      <c r="D16" s="7">
        <f>'Raw Calculations'!H131</f>
        <v>0</v>
      </c>
      <c r="E16" s="7">
        <f t="shared" si="0"/>
        <v>638400</v>
      </c>
    </row>
    <row r="17" spans="1:5">
      <c r="A17" t="s">
        <v>141</v>
      </c>
      <c r="B17" t="s">
        <v>143</v>
      </c>
      <c r="C17" s="3">
        <f>'Raw Calculations'!E132</f>
        <v>105070</v>
      </c>
      <c r="D17" s="7">
        <f>'Raw Calculations'!H132</f>
        <v>0</v>
      </c>
      <c r="E17" s="7">
        <f t="shared" si="0"/>
        <v>105070</v>
      </c>
    </row>
    <row r="18" spans="1:5">
      <c r="A18" t="s">
        <v>141</v>
      </c>
      <c r="B18" t="s">
        <v>144</v>
      </c>
      <c r="C18" s="3">
        <f>'Raw Calculations'!E133</f>
        <v>223440</v>
      </c>
      <c r="D18" s="7">
        <f>'Raw Calculations'!H133</f>
        <v>0</v>
      </c>
      <c r="E18" s="7">
        <f t="shared" si="0"/>
        <v>223440</v>
      </c>
    </row>
    <row r="19" spans="1:5">
      <c r="A19" t="s">
        <v>141</v>
      </c>
      <c r="B19" t="s">
        <v>145</v>
      </c>
      <c r="C19" s="3">
        <f>'Raw Calculations'!E134</f>
        <v>47880</v>
      </c>
      <c r="D19" s="7">
        <f>'Raw Calculations'!H134</f>
        <v>0</v>
      </c>
      <c r="E19" s="7">
        <f t="shared" si="0"/>
        <v>47880</v>
      </c>
    </row>
    <row r="20" spans="1:5">
      <c r="A20" t="s">
        <v>141</v>
      </c>
      <c r="B20" t="s">
        <v>146</v>
      </c>
      <c r="C20" s="3">
        <f>'Raw Calculations'!E135</f>
        <v>66500</v>
      </c>
      <c r="D20" s="7">
        <f>'Raw Calculations'!H135</f>
        <v>0</v>
      </c>
      <c r="E20" s="7">
        <f t="shared" si="0"/>
        <v>66500</v>
      </c>
    </row>
    <row r="21" spans="1:5">
      <c r="A21" t="s">
        <v>141</v>
      </c>
      <c r="B21" t="s">
        <v>147</v>
      </c>
      <c r="C21" s="3">
        <f>'Raw Calculations'!E136</f>
        <v>131138</v>
      </c>
      <c r="D21" s="7">
        <f>'Raw Calculations'!H136</f>
        <v>0</v>
      </c>
      <c r="E21" s="7">
        <f t="shared" si="0"/>
        <v>131138</v>
      </c>
    </row>
    <row r="22" spans="1:5">
      <c r="A22" t="s">
        <v>141</v>
      </c>
      <c r="B22" t="s">
        <v>148</v>
      </c>
      <c r="C22" s="3">
        <f>'Raw Calculations'!E137</f>
        <v>316540</v>
      </c>
      <c r="D22" s="7">
        <f>'Raw Calculations'!H137</f>
        <v>0</v>
      </c>
      <c r="E22" s="7">
        <f t="shared" si="0"/>
        <v>316540</v>
      </c>
    </row>
    <row r="23" spans="1:5">
      <c r="A23" t="s">
        <v>141</v>
      </c>
      <c r="B23" t="s">
        <v>149</v>
      </c>
      <c r="C23" s="3">
        <f>'Raw Calculations'!E138</f>
        <v>90440</v>
      </c>
      <c r="D23" s="7">
        <f>'Raw Calculations'!H138</f>
        <v>0</v>
      </c>
      <c r="E23" s="7">
        <f t="shared" si="0"/>
        <v>90440</v>
      </c>
    </row>
    <row r="24" spans="1:5">
      <c r="A24" t="s">
        <v>141</v>
      </c>
      <c r="B24" t="s">
        <v>150</v>
      </c>
      <c r="C24" s="3">
        <f>'Raw Calculations'!E139</f>
        <v>46550</v>
      </c>
      <c r="D24" s="7">
        <f>'Raw Calculations'!H139</f>
        <v>0</v>
      </c>
      <c r="E24" s="7">
        <f t="shared" si="0"/>
        <v>46550</v>
      </c>
    </row>
    <row r="25" spans="1:5">
      <c r="A25" t="s">
        <v>141</v>
      </c>
      <c r="B25" t="s">
        <v>151</v>
      </c>
      <c r="C25" s="3">
        <f>'Raw Calculations'!E140</f>
        <v>118104</v>
      </c>
      <c r="D25" s="7">
        <f>'Raw Calculations'!H140</f>
        <v>0</v>
      </c>
      <c r="E25" s="7">
        <f t="shared" si="0"/>
        <v>118104</v>
      </c>
    </row>
    <row r="26" spans="1:5">
      <c r="A26" t="s">
        <v>141</v>
      </c>
      <c r="B26" t="s">
        <v>152</v>
      </c>
      <c r="C26" s="3">
        <f>'Raw Calculations'!E141</f>
        <v>53200</v>
      </c>
      <c r="D26" s="7">
        <f>'Raw Calculations'!H141</f>
        <v>0</v>
      </c>
      <c r="E26" s="7">
        <f t="shared" si="0"/>
        <v>53200</v>
      </c>
    </row>
    <row r="27" spans="1:5">
      <c r="A27" t="s">
        <v>141</v>
      </c>
      <c r="B27" t="s">
        <v>153</v>
      </c>
      <c r="C27" s="3">
        <f>'Raw Calculations'!E142</f>
        <v>196840</v>
      </c>
      <c r="D27" s="7">
        <f>'Raw Calculations'!H142</f>
        <v>0</v>
      </c>
      <c r="E27" s="7">
        <f t="shared" si="0"/>
        <v>196840</v>
      </c>
    </row>
    <row r="28" spans="1:5">
      <c r="A28" t="s">
        <v>141</v>
      </c>
      <c r="B28" t="s">
        <v>154</v>
      </c>
      <c r="C28" s="3">
        <f>'Raw Calculations'!E143</f>
        <v>0</v>
      </c>
      <c r="D28" s="7">
        <f>'Raw Calculations'!H143</f>
        <v>463894.1333</v>
      </c>
      <c r="E28" s="7">
        <f t="shared" si="0"/>
        <v>463894.1333</v>
      </c>
    </row>
    <row r="29" spans="1:5">
      <c r="A29" t="s">
        <v>141</v>
      </c>
      <c r="B29" t="s">
        <v>155</v>
      </c>
      <c r="C29" s="3">
        <f>'Raw Calculations'!E144</f>
        <v>0</v>
      </c>
      <c r="D29" s="7">
        <f>'Raw Calculations'!H144</f>
        <v>3927.7161</v>
      </c>
      <c r="E29" s="7">
        <f t="shared" si="0"/>
        <v>3927.7161</v>
      </c>
    </row>
    <row r="30" spans="1:5">
      <c r="A30" t="s">
        <v>156</v>
      </c>
      <c r="B30" t="s">
        <v>157</v>
      </c>
      <c r="C30" s="3">
        <f>'Raw Calculations'!E145</f>
        <v>0</v>
      </c>
      <c r="D30" s="7">
        <f>'Raw Calculations'!H145</f>
        <v>876300.7499</v>
      </c>
      <c r="E30" s="7">
        <f t="shared" si="0"/>
        <v>876300.7499</v>
      </c>
    </row>
    <row r="31" spans="1:5">
      <c r="A31" t="s">
        <v>156</v>
      </c>
      <c r="B31" t="s">
        <v>158</v>
      </c>
      <c r="C31" s="3">
        <f>'Raw Calculations'!E146</f>
        <v>0</v>
      </c>
      <c r="D31" s="7">
        <f>'Raw Calculations'!H146</f>
        <v>2924.0639</v>
      </c>
      <c r="E31" s="7">
        <f t="shared" si="0"/>
        <v>2924.0639</v>
      </c>
    </row>
    <row r="32" spans="1:5">
      <c r="A32" t="s">
        <v>156</v>
      </c>
      <c r="B32" t="s">
        <v>159</v>
      </c>
      <c r="C32" s="3">
        <f>'Raw Calculations'!E147</f>
        <v>0</v>
      </c>
      <c r="D32" s="7">
        <f>'Raw Calculations'!H147</f>
        <v>23573.4444</v>
      </c>
      <c r="E32" s="7">
        <f t="shared" si="0"/>
        <v>23573.4444</v>
      </c>
    </row>
    <row r="33" spans="1:5">
      <c r="A33" t="s">
        <v>160</v>
      </c>
      <c r="B33" t="s">
        <v>161</v>
      </c>
      <c r="C33" s="3">
        <f>'Raw Calculations'!E148</f>
        <v>0</v>
      </c>
      <c r="D33" s="7">
        <f>'Raw Calculations'!H148</f>
        <v>824261.2281</v>
      </c>
      <c r="E33" s="7">
        <f t="shared" si="0"/>
        <v>824261.2281</v>
      </c>
    </row>
    <row r="34" spans="1:5">
      <c r="A34" t="s">
        <v>160</v>
      </c>
      <c r="B34" t="s">
        <v>162</v>
      </c>
      <c r="C34" s="3">
        <f>'Raw Calculations'!E149</f>
        <v>220780</v>
      </c>
      <c r="D34" s="7">
        <f>'Raw Calculations'!H149</f>
        <v>0</v>
      </c>
      <c r="E34" s="7">
        <f t="shared" si="0"/>
        <v>220780</v>
      </c>
    </row>
    <row r="35" spans="1:5">
      <c r="A35" t="s">
        <v>160</v>
      </c>
      <c r="B35" t="s">
        <v>163</v>
      </c>
      <c r="C35" s="3">
        <f>'Raw Calculations'!E150</f>
        <v>0</v>
      </c>
      <c r="D35" s="7">
        <f>'Raw Calculations'!H150</f>
        <v>12505.0761</v>
      </c>
      <c r="E35" s="7">
        <f t="shared" ref="E35:E66" si="1">C35+D35</f>
        <v>12505.0761</v>
      </c>
    </row>
    <row r="36" spans="1:5">
      <c r="A36" t="s">
        <v>164</v>
      </c>
      <c r="B36" t="s">
        <v>165</v>
      </c>
      <c r="C36" s="3">
        <f>'Raw Calculations'!E151</f>
        <v>0</v>
      </c>
      <c r="D36" s="7">
        <f>'Raw Calculations'!H151</f>
        <v>842050.8027</v>
      </c>
      <c r="E36" s="7">
        <f t="shared" si="1"/>
        <v>842050.8027</v>
      </c>
    </row>
    <row r="37" spans="1:5">
      <c r="A37" t="s">
        <v>164</v>
      </c>
      <c r="B37" t="s">
        <v>166</v>
      </c>
      <c r="C37" s="3">
        <f>'Raw Calculations'!E152</f>
        <v>0</v>
      </c>
      <c r="D37" s="7">
        <f>'Raw Calculations'!H152</f>
        <v>1299.5639</v>
      </c>
      <c r="E37" s="7">
        <f t="shared" si="1"/>
        <v>1299.5639</v>
      </c>
    </row>
    <row r="38" spans="1:5">
      <c r="A38" t="s">
        <v>167</v>
      </c>
      <c r="B38" t="s">
        <v>168</v>
      </c>
      <c r="C38" s="3">
        <f>'Raw Calculations'!E153</f>
        <v>0</v>
      </c>
      <c r="D38" s="7">
        <f>'Raw Calculations'!H153</f>
        <v>417063.6249</v>
      </c>
      <c r="E38" s="7">
        <f t="shared" si="1"/>
        <v>417063.6249</v>
      </c>
    </row>
    <row r="39" spans="1:5">
      <c r="A39" t="s">
        <v>167</v>
      </c>
      <c r="B39" t="s">
        <v>169</v>
      </c>
      <c r="C39" s="3">
        <f>'Raw Calculations'!E154</f>
        <v>0</v>
      </c>
      <c r="D39" s="7">
        <f>'Raw Calculations'!H154</f>
        <v>702100.1999</v>
      </c>
      <c r="E39" s="7">
        <f t="shared" si="1"/>
        <v>702100.1999</v>
      </c>
    </row>
    <row r="40" spans="1:5">
      <c r="A40" t="s">
        <v>167</v>
      </c>
      <c r="B40" t="s">
        <v>170</v>
      </c>
      <c r="C40" s="3">
        <f>'Raw Calculations'!E155</f>
        <v>37511.32</v>
      </c>
      <c r="D40" s="7">
        <f>'Raw Calculations'!H155</f>
        <v>0</v>
      </c>
      <c r="E40" s="7">
        <f t="shared" si="1"/>
        <v>37511.32</v>
      </c>
    </row>
    <row r="41" spans="1:5">
      <c r="A41" t="s">
        <v>167</v>
      </c>
      <c r="B41" t="s">
        <v>171</v>
      </c>
      <c r="C41" s="3">
        <f>'Raw Calculations'!E156</f>
        <v>171796.1</v>
      </c>
      <c r="D41" s="7">
        <f>'Raw Calculations'!H156</f>
        <v>0</v>
      </c>
      <c r="E41" s="7">
        <f t="shared" si="1"/>
        <v>171796.1</v>
      </c>
    </row>
    <row r="42" spans="1:5">
      <c r="A42" t="s">
        <v>167</v>
      </c>
      <c r="B42" t="s">
        <v>171</v>
      </c>
      <c r="C42" s="3">
        <f>'Raw Calculations'!E157</f>
        <v>23.142</v>
      </c>
      <c r="D42" s="7">
        <f>'Raw Calculations'!H157</f>
        <v>0</v>
      </c>
      <c r="E42" s="7">
        <f t="shared" si="1"/>
        <v>23.142</v>
      </c>
    </row>
    <row r="43" spans="1:5">
      <c r="A43" t="s">
        <v>167</v>
      </c>
      <c r="B43" t="s">
        <v>171</v>
      </c>
      <c r="C43" s="3">
        <f>'Raw Calculations'!E158</f>
        <v>3.458</v>
      </c>
      <c r="D43" s="7">
        <f>'Raw Calculations'!H158</f>
        <v>0</v>
      </c>
      <c r="E43" s="7">
        <f t="shared" si="1"/>
        <v>3.458</v>
      </c>
    </row>
    <row r="44" spans="1:5">
      <c r="A44" t="s">
        <v>167</v>
      </c>
      <c r="B44" t="s">
        <v>172</v>
      </c>
      <c r="C44" s="3">
        <f>'Raw Calculations'!E159</f>
        <v>2295580</v>
      </c>
      <c r="D44" s="7">
        <f>'Raw Calculations'!H159</f>
        <v>0</v>
      </c>
      <c r="E44" s="7">
        <f t="shared" si="1"/>
        <v>2295580</v>
      </c>
    </row>
    <row r="45" spans="1:5">
      <c r="A45" t="s">
        <v>167</v>
      </c>
      <c r="B45" t="s">
        <v>173</v>
      </c>
      <c r="C45" s="3">
        <f>'Raw Calculations'!E160</f>
        <v>0</v>
      </c>
      <c r="D45" s="7">
        <f>'Raw Calculations'!H160</f>
        <v>162.4139</v>
      </c>
      <c r="E45" s="7">
        <f t="shared" si="1"/>
        <v>162.4139</v>
      </c>
    </row>
    <row r="46" spans="1:5">
      <c r="A46" t="s">
        <v>167</v>
      </c>
      <c r="B46" t="s">
        <v>174</v>
      </c>
      <c r="C46" s="3">
        <f>'Raw Calculations'!E161</f>
        <v>0</v>
      </c>
      <c r="D46" s="7">
        <f>'Raw Calculations'!H161</f>
        <v>20360.5083</v>
      </c>
      <c r="E46" s="7">
        <f t="shared" si="1"/>
        <v>20360.5083</v>
      </c>
    </row>
    <row r="47" spans="1:5">
      <c r="A47" t="s">
        <v>167</v>
      </c>
      <c r="B47" t="s">
        <v>175</v>
      </c>
      <c r="C47" s="3">
        <f>'Raw Calculations'!E162</f>
        <v>0</v>
      </c>
      <c r="D47" s="7">
        <f>'Raw Calculations'!H162</f>
        <v>23490.0173</v>
      </c>
      <c r="E47" s="7">
        <f t="shared" si="1"/>
        <v>23490.0173</v>
      </c>
    </row>
    <row r="48" spans="1:5">
      <c r="A48" t="s">
        <v>176</v>
      </c>
      <c r="B48" t="s">
        <v>177</v>
      </c>
      <c r="C48" s="3">
        <f>'Raw Calculations'!E163</f>
        <v>0</v>
      </c>
      <c r="D48" s="7">
        <f>'Raw Calculations'!H163</f>
        <v>639446.3034</v>
      </c>
      <c r="E48" s="7">
        <f t="shared" si="1"/>
        <v>639446.3034</v>
      </c>
    </row>
    <row r="49" spans="1:5">
      <c r="A49" t="s">
        <v>176</v>
      </c>
      <c r="B49" t="s">
        <v>178</v>
      </c>
      <c r="C49" s="3">
        <f>'Raw Calculations'!E164</f>
        <v>159600</v>
      </c>
      <c r="D49" s="7">
        <f>'Raw Calculations'!H164</f>
        <v>0</v>
      </c>
      <c r="E49" s="7">
        <f t="shared" si="1"/>
        <v>159600</v>
      </c>
    </row>
    <row r="50" spans="1:5">
      <c r="A50" t="s">
        <v>179</v>
      </c>
      <c r="B50" t="s">
        <v>180</v>
      </c>
      <c r="C50" s="3">
        <f>'Raw Calculations'!E165</f>
        <v>0</v>
      </c>
      <c r="D50" s="7">
        <f>'Raw Calculations'!H165</f>
        <v>700108.7434</v>
      </c>
      <c r="E50" s="7">
        <f t="shared" si="1"/>
        <v>700108.7434</v>
      </c>
    </row>
    <row r="51" spans="1:5">
      <c r="A51" t="s">
        <v>179</v>
      </c>
      <c r="B51" t="s">
        <v>181</v>
      </c>
      <c r="C51" s="3">
        <f>'Raw Calculations'!E166</f>
        <v>106400</v>
      </c>
      <c r="D51" s="7">
        <f>'Raw Calculations'!H166</f>
        <v>0</v>
      </c>
      <c r="E51" s="7">
        <f t="shared" si="1"/>
        <v>106400</v>
      </c>
    </row>
    <row r="52" spans="1:5">
      <c r="A52" t="s">
        <v>179</v>
      </c>
      <c r="B52" t="s">
        <v>182</v>
      </c>
      <c r="C52" s="3">
        <f>'Raw Calculations'!E167</f>
        <v>151620</v>
      </c>
      <c r="D52" s="7">
        <f>'Raw Calculations'!H167</f>
        <v>0</v>
      </c>
      <c r="E52" s="7">
        <f t="shared" si="1"/>
        <v>151620</v>
      </c>
    </row>
    <row r="53" spans="1:5">
      <c r="A53" t="s">
        <v>179</v>
      </c>
      <c r="B53" t="s">
        <v>183</v>
      </c>
      <c r="C53" s="3">
        <f>'Raw Calculations'!E168</f>
        <v>0</v>
      </c>
      <c r="D53" s="7">
        <f>'Raw Calculations'!H168</f>
        <v>7501.6161</v>
      </c>
      <c r="E53" s="7">
        <f t="shared" si="1"/>
        <v>7501.6161</v>
      </c>
    </row>
    <row r="54" spans="1:5">
      <c r="A54" t="s">
        <v>184</v>
      </c>
      <c r="B54" t="s">
        <v>185</v>
      </c>
      <c r="C54" s="3">
        <f>'Raw Calculations'!E169</f>
        <v>0</v>
      </c>
      <c r="D54" s="7">
        <f>'Raw Calculations'!H169</f>
        <v>601182.0001</v>
      </c>
      <c r="E54" s="7">
        <f t="shared" si="1"/>
        <v>601182.0001</v>
      </c>
    </row>
    <row r="55" spans="1:5">
      <c r="A55" t="s">
        <v>186</v>
      </c>
      <c r="B55" t="s">
        <v>187</v>
      </c>
      <c r="C55" s="3">
        <f>'Raw Calculations'!E170</f>
        <v>47215</v>
      </c>
      <c r="D55" s="7">
        <f>'Raw Calculations'!H170</f>
        <v>0</v>
      </c>
      <c r="E55" s="7">
        <f t="shared" si="1"/>
        <v>47215</v>
      </c>
    </row>
    <row r="56" spans="1:5">
      <c r="A56" t="s">
        <v>186</v>
      </c>
      <c r="B56" t="s">
        <v>188</v>
      </c>
      <c r="C56" s="3">
        <f>'Raw Calculations'!E171</f>
        <v>105735</v>
      </c>
      <c r="D56" s="7">
        <f>'Raw Calculations'!H171</f>
        <v>0</v>
      </c>
      <c r="E56" s="7">
        <f t="shared" si="1"/>
        <v>105735</v>
      </c>
    </row>
    <row r="57" spans="1:5">
      <c r="A57" t="s">
        <v>186</v>
      </c>
      <c r="B57" t="s">
        <v>189</v>
      </c>
      <c r="C57" s="3">
        <f>'Raw Calculations'!E172</f>
        <v>111720</v>
      </c>
      <c r="D57" s="7">
        <f>'Raw Calculations'!H172</f>
        <v>0</v>
      </c>
      <c r="E57" s="7">
        <f t="shared" si="1"/>
        <v>111720</v>
      </c>
    </row>
    <row r="58" spans="1:5">
      <c r="A58" t="s">
        <v>186</v>
      </c>
      <c r="B58" t="s">
        <v>190</v>
      </c>
      <c r="C58" s="3">
        <f>'Raw Calculations'!E173</f>
        <v>98420</v>
      </c>
      <c r="D58" s="7">
        <f>'Raw Calculations'!H173</f>
        <v>0</v>
      </c>
      <c r="E58" s="7">
        <f t="shared" si="1"/>
        <v>98420</v>
      </c>
    </row>
    <row r="59" spans="1:5">
      <c r="A59" t="s">
        <v>186</v>
      </c>
      <c r="B59" t="s">
        <v>191</v>
      </c>
      <c r="C59" s="3">
        <f>'Raw Calculations'!E174</f>
        <v>23940</v>
      </c>
      <c r="D59" s="7">
        <f>'Raw Calculations'!H174</f>
        <v>0</v>
      </c>
      <c r="E59" s="7">
        <f t="shared" si="1"/>
        <v>23940</v>
      </c>
    </row>
    <row r="60" spans="1:5">
      <c r="A60" t="s">
        <v>186</v>
      </c>
      <c r="B60" t="s">
        <v>192</v>
      </c>
      <c r="C60" s="3">
        <f>'Raw Calculations'!E175</f>
        <v>33250</v>
      </c>
      <c r="D60" s="7">
        <f>'Raw Calculations'!H175</f>
        <v>0</v>
      </c>
      <c r="E60" s="7">
        <f t="shared" si="1"/>
        <v>33250</v>
      </c>
    </row>
    <row r="61" spans="1:5">
      <c r="A61" t="s">
        <v>186</v>
      </c>
      <c r="B61" t="s">
        <v>193</v>
      </c>
      <c r="C61" s="3">
        <f>'Raw Calculations'!E176</f>
        <v>8379</v>
      </c>
      <c r="D61" s="7">
        <f>'Raw Calculations'!H176</f>
        <v>0</v>
      </c>
      <c r="E61" s="7">
        <f t="shared" si="1"/>
        <v>8379</v>
      </c>
    </row>
    <row r="62" spans="1:5">
      <c r="A62" t="s">
        <v>186</v>
      </c>
      <c r="B62" t="s">
        <v>194</v>
      </c>
      <c r="C62" s="3">
        <f>'Raw Calculations'!E177</f>
        <v>66234</v>
      </c>
      <c r="D62" s="7">
        <f>'Raw Calculations'!H177</f>
        <v>0</v>
      </c>
      <c r="E62" s="7">
        <f t="shared" si="1"/>
        <v>66234</v>
      </c>
    </row>
    <row r="63" spans="1:5">
      <c r="A63" t="s">
        <v>186</v>
      </c>
      <c r="B63" t="s">
        <v>195</v>
      </c>
      <c r="C63" s="3">
        <f>'Raw Calculations'!E178</f>
        <v>28994</v>
      </c>
      <c r="D63" s="7">
        <f>'Raw Calculations'!H178</f>
        <v>0</v>
      </c>
      <c r="E63" s="7">
        <f t="shared" si="1"/>
        <v>28994</v>
      </c>
    </row>
    <row r="64" spans="1:5">
      <c r="A64" t="s">
        <v>186</v>
      </c>
      <c r="B64" t="s">
        <v>196</v>
      </c>
      <c r="C64" s="3">
        <f>'Raw Calculations'!E179</f>
        <v>22610</v>
      </c>
      <c r="D64" s="7">
        <f>'Raw Calculations'!H179</f>
        <v>0</v>
      </c>
      <c r="E64" s="7">
        <f t="shared" si="1"/>
        <v>22610</v>
      </c>
    </row>
    <row r="65" spans="1:5">
      <c r="A65" t="s">
        <v>186</v>
      </c>
      <c r="B65" t="s">
        <v>197</v>
      </c>
      <c r="C65" s="3">
        <f>'Raw Calculations'!E180</f>
        <v>319200</v>
      </c>
      <c r="D65" s="7">
        <f>'Raw Calculations'!H180</f>
        <v>0</v>
      </c>
      <c r="E65" s="7">
        <f t="shared" si="1"/>
        <v>319200</v>
      </c>
    </row>
    <row r="66" spans="1:5">
      <c r="A66" t="s">
        <v>186</v>
      </c>
      <c r="B66" t="s">
        <v>198</v>
      </c>
      <c r="C66" s="3">
        <f>'Raw Calculations'!E181</f>
        <v>319200</v>
      </c>
      <c r="D66" s="7">
        <f>'Raw Calculations'!H181</f>
        <v>0</v>
      </c>
      <c r="E66" s="7">
        <f t="shared" si="1"/>
        <v>319200</v>
      </c>
    </row>
    <row r="67" spans="1:5">
      <c r="A67" t="s">
        <v>186</v>
      </c>
      <c r="B67" t="s">
        <v>199</v>
      </c>
      <c r="C67" s="3">
        <f>'Raw Calculations'!E182</f>
        <v>15960</v>
      </c>
      <c r="D67" s="7">
        <f>'Raw Calculations'!H182</f>
        <v>0</v>
      </c>
      <c r="E67" s="7">
        <f t="shared" ref="E67:E98" si="2">C67+D67</f>
        <v>15960</v>
      </c>
    </row>
    <row r="68" spans="1:5">
      <c r="A68" t="s">
        <v>186</v>
      </c>
      <c r="B68" t="s">
        <v>200</v>
      </c>
      <c r="C68" s="3">
        <f>'Raw Calculations'!E183</f>
        <v>22610</v>
      </c>
      <c r="D68" s="7">
        <f>'Raw Calculations'!H183</f>
        <v>0</v>
      </c>
      <c r="E68" s="7">
        <f t="shared" si="2"/>
        <v>22610</v>
      </c>
    </row>
    <row r="69" spans="1:5">
      <c r="A69" t="s">
        <v>186</v>
      </c>
      <c r="B69" t="s">
        <v>201</v>
      </c>
      <c r="C69" s="3">
        <f>'Raw Calculations'!E184</f>
        <v>13300</v>
      </c>
      <c r="D69" s="7">
        <f>'Raw Calculations'!H184</f>
        <v>0</v>
      </c>
      <c r="E69" s="7">
        <f t="shared" si="2"/>
        <v>13300</v>
      </c>
    </row>
    <row r="70" spans="1:5">
      <c r="A70" t="s">
        <v>186</v>
      </c>
      <c r="B70" t="s">
        <v>202</v>
      </c>
      <c r="C70" s="3">
        <f>'Raw Calculations'!E185</f>
        <v>26600</v>
      </c>
      <c r="D70" s="7">
        <f>'Raw Calculations'!H185</f>
        <v>0</v>
      </c>
      <c r="E70" s="7">
        <f t="shared" si="2"/>
        <v>26600</v>
      </c>
    </row>
    <row r="71" spans="1:5">
      <c r="A71" t="s">
        <v>186</v>
      </c>
      <c r="B71" t="s">
        <v>203</v>
      </c>
      <c r="C71" s="3">
        <f>'Raw Calculations'!E186</f>
        <v>59052</v>
      </c>
      <c r="D71" s="7">
        <f>'Raw Calculations'!H186</f>
        <v>0</v>
      </c>
      <c r="E71" s="7">
        <f t="shared" si="2"/>
        <v>59052</v>
      </c>
    </row>
    <row r="72" spans="1:5">
      <c r="A72" t="s">
        <v>186</v>
      </c>
      <c r="B72" t="s">
        <v>204</v>
      </c>
      <c r="C72" s="3">
        <f>'Raw Calculations'!E187</f>
        <v>23275</v>
      </c>
      <c r="D72" s="7">
        <f>'Raw Calculations'!H187</f>
        <v>0</v>
      </c>
      <c r="E72" s="7">
        <f t="shared" si="2"/>
        <v>23275</v>
      </c>
    </row>
    <row r="73" spans="1:5">
      <c r="A73" t="s">
        <v>186</v>
      </c>
      <c r="B73" t="s">
        <v>205</v>
      </c>
      <c r="C73" s="3">
        <f>'Raw Calculations'!E188</f>
        <v>45220</v>
      </c>
      <c r="D73" s="7">
        <f>'Raw Calculations'!H188</f>
        <v>0</v>
      </c>
      <c r="E73" s="7">
        <f t="shared" si="2"/>
        <v>45220</v>
      </c>
    </row>
    <row r="74" spans="1:5">
      <c r="A74" t="s">
        <v>186</v>
      </c>
      <c r="B74" t="s">
        <v>206</v>
      </c>
      <c r="C74" s="3">
        <f>'Raw Calculations'!E189</f>
        <v>158270</v>
      </c>
      <c r="D74" s="7">
        <f>'Raw Calculations'!H189</f>
        <v>0</v>
      </c>
      <c r="E74" s="7">
        <f t="shared" si="2"/>
        <v>158270</v>
      </c>
    </row>
    <row r="75" spans="1:5">
      <c r="A75" t="s">
        <v>186</v>
      </c>
      <c r="B75" t="s">
        <v>207</v>
      </c>
      <c r="C75" s="3">
        <f>'Raw Calculations'!E190</f>
        <v>65569</v>
      </c>
      <c r="D75" s="7">
        <f>'Raw Calculations'!H190</f>
        <v>0</v>
      </c>
      <c r="E75" s="7">
        <f t="shared" si="2"/>
        <v>65569</v>
      </c>
    </row>
    <row r="76" spans="1:5">
      <c r="A76" t="s">
        <v>186</v>
      </c>
      <c r="B76" t="s">
        <v>208</v>
      </c>
      <c r="C76" s="3">
        <f>'Raw Calculations'!E191</f>
        <v>0</v>
      </c>
      <c r="D76" s="7">
        <f>'Raw Calculations'!H191</f>
        <v>587587.787</v>
      </c>
      <c r="E76" s="7">
        <f t="shared" si="2"/>
        <v>587587.787</v>
      </c>
    </row>
    <row r="77" spans="1:5">
      <c r="A77" t="s">
        <v>186</v>
      </c>
      <c r="B77" t="s">
        <v>209</v>
      </c>
      <c r="C77" s="3">
        <f>'Raw Calculations'!E192</f>
        <v>164920</v>
      </c>
      <c r="D77" s="7">
        <f>'Raw Calculations'!H192</f>
        <v>0</v>
      </c>
      <c r="E77" s="7">
        <f t="shared" si="2"/>
        <v>164920</v>
      </c>
    </row>
    <row r="78" spans="1:5">
      <c r="A78" t="s">
        <v>186</v>
      </c>
      <c r="B78" t="s">
        <v>209</v>
      </c>
      <c r="C78" s="3">
        <f>'Raw Calculations'!E193</f>
        <v>23.142</v>
      </c>
      <c r="D78" s="7">
        <f>'Raw Calculations'!H193</f>
        <v>0</v>
      </c>
      <c r="E78" s="7">
        <f t="shared" si="2"/>
        <v>23.142</v>
      </c>
    </row>
    <row r="79" spans="1:5">
      <c r="A79" t="s">
        <v>186</v>
      </c>
      <c r="B79" t="s">
        <v>209</v>
      </c>
      <c r="C79" s="3">
        <f>'Raw Calculations'!E194</f>
        <v>3.458</v>
      </c>
      <c r="D79" s="7">
        <f>'Raw Calculations'!H194</f>
        <v>0</v>
      </c>
      <c r="E79" s="7">
        <f t="shared" si="2"/>
        <v>3.458</v>
      </c>
    </row>
    <row r="80" spans="1:5">
      <c r="A80" t="s">
        <v>186</v>
      </c>
      <c r="B80" t="s">
        <v>210</v>
      </c>
      <c r="C80" s="3">
        <f>'Raw Calculations'!E195</f>
        <v>0</v>
      </c>
      <c r="D80" s="7">
        <f>'Raw Calculations'!H195</f>
        <v>3927.7161</v>
      </c>
      <c r="E80" s="7">
        <f t="shared" si="2"/>
        <v>3927.7161</v>
      </c>
    </row>
    <row r="81" spans="1:5">
      <c r="A81" t="s">
        <v>211</v>
      </c>
      <c r="B81" t="s">
        <v>212</v>
      </c>
      <c r="C81" s="3">
        <f>'Raw Calculations'!E196</f>
        <v>266000</v>
      </c>
      <c r="D81" s="7">
        <f>'Raw Calculations'!H196</f>
        <v>0</v>
      </c>
      <c r="E81" s="7">
        <f t="shared" si="2"/>
        <v>266000</v>
      </c>
    </row>
    <row r="82" spans="1:5">
      <c r="A82" t="s">
        <v>213</v>
      </c>
      <c r="B82" t="s">
        <v>214</v>
      </c>
      <c r="C82" s="3">
        <f>'Raw Calculations'!E197</f>
        <v>0</v>
      </c>
      <c r="D82" s="7">
        <f>'Raw Calculations'!H197</f>
        <v>925186.0703</v>
      </c>
      <c r="E82" s="7">
        <f t="shared" si="2"/>
        <v>925186.0703</v>
      </c>
    </row>
    <row r="83" spans="1:5">
      <c r="A83" t="s">
        <v>213</v>
      </c>
      <c r="B83" t="s">
        <v>215</v>
      </c>
      <c r="C83" s="3">
        <f>'Raw Calculations'!E198</f>
        <v>0</v>
      </c>
      <c r="D83" s="7">
        <f>'Raw Calculations'!H198</f>
        <v>702135.3974</v>
      </c>
      <c r="E83" s="7">
        <f t="shared" si="2"/>
        <v>702135.3974</v>
      </c>
    </row>
    <row r="84" spans="1:5">
      <c r="A84" t="s">
        <v>213</v>
      </c>
      <c r="B84" t="s">
        <v>216</v>
      </c>
      <c r="C84" s="3">
        <f>'Raw Calculations'!E199</f>
        <v>172900</v>
      </c>
      <c r="D84" s="7">
        <f>'Raw Calculations'!H199</f>
        <v>0</v>
      </c>
      <c r="E84" s="7">
        <f t="shared" si="2"/>
        <v>172900</v>
      </c>
    </row>
    <row r="85" spans="1:5">
      <c r="A85" t="s">
        <v>213</v>
      </c>
      <c r="B85" t="s">
        <v>217</v>
      </c>
      <c r="C85" s="3">
        <f>'Raw Calculations'!E200</f>
        <v>0</v>
      </c>
      <c r="D85" s="7">
        <f>'Raw Calculations'!H200</f>
        <v>111724.0489</v>
      </c>
      <c r="E85" s="7">
        <f t="shared" si="2"/>
        <v>111724.0489</v>
      </c>
    </row>
    <row r="86" spans="1:5">
      <c r="A86" t="s">
        <v>213</v>
      </c>
      <c r="B86" t="s">
        <v>218</v>
      </c>
      <c r="C86" s="3">
        <f>'Raw Calculations'!E201</f>
        <v>0</v>
      </c>
      <c r="D86" s="7">
        <f>'Raw Calculations'!H201</f>
        <v>227.3939</v>
      </c>
      <c r="E86" s="7">
        <f t="shared" si="2"/>
        <v>227.3939</v>
      </c>
    </row>
    <row r="87" spans="1:5">
      <c r="A87" t="s">
        <v>213</v>
      </c>
      <c r="B87" t="s">
        <v>219</v>
      </c>
      <c r="C87" s="3">
        <f>'Raw Calculations'!E202</f>
        <v>0</v>
      </c>
      <c r="D87" s="7">
        <f>'Raw Calculations'!H202</f>
        <v>36432.3366</v>
      </c>
      <c r="E87" s="7">
        <f t="shared" si="2"/>
        <v>36432.3366</v>
      </c>
    </row>
    <row r="88" spans="1:5">
      <c r="A88" t="s">
        <v>213</v>
      </c>
      <c r="B88" t="s">
        <v>220</v>
      </c>
      <c r="C88" s="3">
        <f>'Raw Calculations'!E203</f>
        <v>103740</v>
      </c>
      <c r="D88" s="7">
        <f>'Raw Calculations'!H203</f>
        <v>0</v>
      </c>
      <c r="E88" s="7">
        <f t="shared" si="2"/>
        <v>103740</v>
      </c>
    </row>
    <row r="89" spans="1:5">
      <c r="A89" t="s">
        <v>213</v>
      </c>
      <c r="B89" t="s">
        <v>221</v>
      </c>
      <c r="C89" s="3">
        <f>'Raw Calculations'!E204</f>
        <v>1489195.68</v>
      </c>
      <c r="D89" s="7">
        <f>'Raw Calculations'!H204</f>
        <v>0</v>
      </c>
      <c r="E89" s="7">
        <f t="shared" si="2"/>
        <v>1489195.68</v>
      </c>
    </row>
    <row r="90" spans="1:5">
      <c r="A90" t="s">
        <v>222</v>
      </c>
      <c r="B90" t="s">
        <v>223</v>
      </c>
      <c r="C90" s="3">
        <f>'Raw Calculations'!E205</f>
        <v>0</v>
      </c>
      <c r="D90" s="7">
        <f>'Raw Calculations'!H205</f>
        <v>970878.8872</v>
      </c>
      <c r="E90" s="7">
        <f t="shared" si="2"/>
        <v>970878.8872</v>
      </c>
    </row>
    <row r="91" spans="1:5">
      <c r="A91" t="s">
        <v>222</v>
      </c>
      <c r="B91" t="s">
        <v>224</v>
      </c>
      <c r="C91" s="3">
        <f>'Raw Calculations'!E206</f>
        <v>0</v>
      </c>
      <c r="D91" s="7">
        <f>'Raw Calculations'!H206</f>
        <v>37515.2283</v>
      </c>
      <c r="E91" s="7">
        <f t="shared" si="2"/>
        <v>37515.2283</v>
      </c>
    </row>
    <row r="92" spans="1:5">
      <c r="A92" t="s">
        <v>225</v>
      </c>
      <c r="B92" t="s">
        <v>226</v>
      </c>
      <c r="C92" s="3">
        <f>'Raw Calculations'!E207</f>
        <v>0</v>
      </c>
      <c r="D92" s="7">
        <f>'Raw Calculations'!H207</f>
        <v>764046.4642</v>
      </c>
      <c r="E92" s="7">
        <f t="shared" si="2"/>
        <v>764046.4642</v>
      </c>
    </row>
    <row r="93" spans="1:5">
      <c r="A93" t="s">
        <v>227</v>
      </c>
      <c r="B93" t="s">
        <v>228</v>
      </c>
      <c r="C93" s="3">
        <f>'Raw Calculations'!E208</f>
        <v>0</v>
      </c>
      <c r="D93" s="7">
        <f>'Raw Calculations'!H208</f>
        <v>762751.9543</v>
      </c>
      <c r="E93" s="7">
        <f t="shared" si="2"/>
        <v>762751.9543</v>
      </c>
    </row>
    <row r="94" spans="1:5">
      <c r="A94" t="s">
        <v>227</v>
      </c>
      <c r="B94" t="s">
        <v>229</v>
      </c>
      <c r="C94" s="3">
        <f>'Raw Calculations'!E209</f>
        <v>0</v>
      </c>
      <c r="D94" s="7">
        <f>'Raw Calculations'!H209</f>
        <v>7501.6161</v>
      </c>
      <c r="E94" s="7">
        <f t="shared" si="2"/>
        <v>7501.6161</v>
      </c>
    </row>
    <row r="95" spans="1:5">
      <c r="A95" t="s">
        <v>230</v>
      </c>
      <c r="B95" t="s">
        <v>231</v>
      </c>
      <c r="C95" s="3">
        <f>'Raw Calculations'!E210</f>
        <v>0</v>
      </c>
      <c r="D95" s="7">
        <f>'Raw Calculations'!H210</f>
        <v>701527.7622</v>
      </c>
      <c r="E95" s="7">
        <f t="shared" si="2"/>
        <v>701527.7622</v>
      </c>
    </row>
    <row r="96" spans="1:5">
      <c r="A96" t="s">
        <v>230</v>
      </c>
      <c r="B96" t="s">
        <v>232</v>
      </c>
      <c r="C96" s="3">
        <f>'Raw Calculations'!E211</f>
        <v>89110</v>
      </c>
      <c r="D96" s="7">
        <f>'Raw Calculations'!H211</f>
        <v>0</v>
      </c>
      <c r="E96" s="7">
        <f t="shared" si="2"/>
        <v>89110</v>
      </c>
    </row>
    <row r="97" spans="1:5">
      <c r="A97" t="s">
        <v>230</v>
      </c>
      <c r="B97" t="s">
        <v>233</v>
      </c>
      <c r="C97" s="3">
        <f>'Raw Calculations'!E212</f>
        <v>66500</v>
      </c>
      <c r="D97" s="7">
        <f>'Raw Calculations'!H212</f>
        <v>0</v>
      </c>
      <c r="E97" s="7">
        <f t="shared" si="2"/>
        <v>66500</v>
      </c>
    </row>
    <row r="98" spans="1:5">
      <c r="A98" t="s">
        <v>230</v>
      </c>
      <c r="B98" t="s">
        <v>234</v>
      </c>
      <c r="C98" s="3">
        <f>'Raw Calculations'!E213</f>
        <v>1041299.56</v>
      </c>
      <c r="D98" s="7">
        <f>'Raw Calculations'!H213</f>
        <v>0</v>
      </c>
      <c r="E98" s="7">
        <f t="shared" si="2"/>
        <v>1041299.56</v>
      </c>
    </row>
    <row r="99" spans="1:5">
      <c r="A99" t="s">
        <v>230</v>
      </c>
      <c r="B99" t="s">
        <v>235</v>
      </c>
      <c r="C99" s="3">
        <f>'Raw Calculations'!E214</f>
        <v>2660000</v>
      </c>
      <c r="D99" s="7">
        <f>'Raw Calculations'!H214</f>
        <v>0</v>
      </c>
      <c r="E99" s="7">
        <f t="shared" ref="E99:E130" si="3">C99+D99</f>
        <v>2660000</v>
      </c>
    </row>
    <row r="100" spans="1:5">
      <c r="A100" t="s">
        <v>230</v>
      </c>
      <c r="B100" t="s">
        <v>236</v>
      </c>
      <c r="C100" s="3">
        <f>'Raw Calculations'!E215</f>
        <v>0</v>
      </c>
      <c r="D100" s="7">
        <f>'Raw Calculations'!H215</f>
        <v>1783.3761</v>
      </c>
      <c r="E100" s="7">
        <f t="shared" si="3"/>
        <v>1783.3761</v>
      </c>
    </row>
    <row r="101" spans="1:5">
      <c r="A101" t="s">
        <v>230</v>
      </c>
      <c r="B101" t="s">
        <v>237</v>
      </c>
      <c r="C101" s="3">
        <f>'Raw Calculations'!E216</f>
        <v>0</v>
      </c>
      <c r="D101" s="7">
        <f>'Raw Calculations'!H216</f>
        <v>162.4139</v>
      </c>
      <c r="E101" s="7">
        <f t="shared" si="3"/>
        <v>162.4139</v>
      </c>
    </row>
    <row r="102" spans="1:5">
      <c r="A102" t="s">
        <v>230</v>
      </c>
      <c r="B102" t="s">
        <v>238</v>
      </c>
      <c r="C102" s="3">
        <f>'Raw Calculations'!E217</f>
        <v>35112</v>
      </c>
      <c r="D102" s="7">
        <f>'Raw Calculations'!H217</f>
        <v>0</v>
      </c>
      <c r="E102" s="7">
        <f t="shared" si="3"/>
        <v>35112</v>
      </c>
    </row>
    <row r="103" spans="1:5">
      <c r="A103" t="s">
        <v>230</v>
      </c>
      <c r="B103" t="s">
        <v>238</v>
      </c>
      <c r="C103" s="3">
        <f>'Raw Calculations'!E218</f>
        <v>23.142</v>
      </c>
      <c r="D103" s="7">
        <f>'Raw Calculations'!H218</f>
        <v>0</v>
      </c>
      <c r="E103" s="7">
        <f t="shared" si="3"/>
        <v>23.142</v>
      </c>
    </row>
    <row r="104" spans="1:5">
      <c r="A104" t="s">
        <v>230</v>
      </c>
      <c r="B104" t="s">
        <v>238</v>
      </c>
      <c r="C104" s="3">
        <f>'Raw Calculations'!E219</f>
        <v>3.458</v>
      </c>
      <c r="D104" s="7">
        <f>'Raw Calculations'!H219</f>
        <v>0</v>
      </c>
      <c r="E104" s="7">
        <f t="shared" si="3"/>
        <v>3.458</v>
      </c>
    </row>
    <row r="105" spans="1:5">
      <c r="A105" t="s">
        <v>239</v>
      </c>
      <c r="B105" t="s">
        <v>240</v>
      </c>
      <c r="C105" s="3">
        <f>'Raw Calculations'!E220</f>
        <v>0</v>
      </c>
      <c r="D105" s="7">
        <f>'Raw Calculations'!H220</f>
        <v>370297.1579</v>
      </c>
      <c r="E105" s="7">
        <f t="shared" si="3"/>
        <v>370297.1579</v>
      </c>
    </row>
    <row r="106" spans="1:5">
      <c r="A106" t="s">
        <v>239</v>
      </c>
      <c r="B106" t="s">
        <v>241</v>
      </c>
      <c r="C106" s="3">
        <f>'Raw Calculations'!E221</f>
        <v>0</v>
      </c>
      <c r="D106" s="7">
        <f>'Raw Calculations'!H221</f>
        <v>705104.9112</v>
      </c>
      <c r="E106" s="7">
        <f t="shared" si="3"/>
        <v>705104.9112</v>
      </c>
    </row>
    <row r="107" spans="1:5">
      <c r="A107" t="s">
        <v>239</v>
      </c>
      <c r="B107" t="s">
        <v>242</v>
      </c>
      <c r="C107" s="3">
        <f>'Raw Calculations'!E222</f>
        <v>0</v>
      </c>
      <c r="D107" s="7">
        <f>'Raw Calculations'!H222</f>
        <v>2347149.8</v>
      </c>
      <c r="E107" s="7">
        <f t="shared" si="3"/>
        <v>2347149.8</v>
      </c>
    </row>
    <row r="108" spans="1:5">
      <c r="A108" t="s">
        <v>239</v>
      </c>
      <c r="B108" t="s">
        <v>243</v>
      </c>
      <c r="C108" s="3">
        <f>'Raw Calculations'!E223</f>
        <v>0</v>
      </c>
      <c r="D108" s="7">
        <f>'Raw Calculations'!H223</f>
        <v>2836485.3</v>
      </c>
      <c r="E108" s="7">
        <f t="shared" si="3"/>
        <v>2836485.3</v>
      </c>
    </row>
    <row r="109" spans="1:5">
      <c r="A109" t="s">
        <v>239</v>
      </c>
      <c r="B109" t="s">
        <v>244</v>
      </c>
      <c r="C109" s="3">
        <f>'Raw Calculations'!E224</f>
        <v>2493750</v>
      </c>
      <c r="D109" s="7">
        <f>'Raw Calculations'!H224</f>
        <v>0</v>
      </c>
      <c r="E109" s="7">
        <f t="shared" si="3"/>
        <v>2493750</v>
      </c>
    </row>
    <row r="110" spans="1:5">
      <c r="A110" t="s">
        <v>239</v>
      </c>
      <c r="B110" t="s">
        <v>245</v>
      </c>
      <c r="C110" s="3">
        <f>'Raw Calculations'!E225</f>
        <v>0</v>
      </c>
      <c r="D110" s="7">
        <f>'Raw Calculations'!H225</f>
        <v>162.4139</v>
      </c>
      <c r="E110" s="7">
        <f t="shared" si="3"/>
        <v>162.4139</v>
      </c>
    </row>
    <row r="111" spans="1:5">
      <c r="A111" t="s">
        <v>239</v>
      </c>
      <c r="B111" t="s">
        <v>246</v>
      </c>
      <c r="C111" s="3">
        <f>'Raw Calculations'!E226</f>
        <v>798000</v>
      </c>
      <c r="D111" s="7">
        <f>'Raw Calculations'!H226</f>
        <v>0</v>
      </c>
      <c r="E111" s="7">
        <f t="shared" si="3"/>
        <v>798000</v>
      </c>
    </row>
    <row r="112" spans="1:5">
      <c r="A112" t="s">
        <v>247</v>
      </c>
      <c r="B112" t="s">
        <v>248</v>
      </c>
      <c r="C112" s="3">
        <f>'Raw Calculations'!E227</f>
        <v>22610</v>
      </c>
      <c r="D112" s="7">
        <f>'Raw Calculations'!H227</f>
        <v>0</v>
      </c>
      <c r="E112" s="7">
        <f t="shared" si="3"/>
        <v>22610</v>
      </c>
    </row>
    <row r="113" spans="1:5">
      <c r="A113" t="s">
        <v>247</v>
      </c>
      <c r="B113" t="s">
        <v>249</v>
      </c>
      <c r="C113" s="3">
        <f>'Raw Calculations'!E228</f>
        <v>15960</v>
      </c>
      <c r="D113" s="7">
        <f>'Raw Calculations'!H228</f>
        <v>0</v>
      </c>
      <c r="E113" s="7">
        <f t="shared" si="3"/>
        <v>15960</v>
      </c>
    </row>
    <row r="114" spans="1:5">
      <c r="A114" t="s">
        <v>247</v>
      </c>
      <c r="B114" t="s">
        <v>250</v>
      </c>
      <c r="C114" s="3">
        <f>'Raw Calculations'!E229</f>
        <v>319200</v>
      </c>
      <c r="D114" s="7">
        <f>'Raw Calculations'!H229</f>
        <v>0</v>
      </c>
      <c r="E114" s="7">
        <f t="shared" si="3"/>
        <v>319200</v>
      </c>
    </row>
    <row r="115" spans="1:5">
      <c r="A115" t="s">
        <v>247</v>
      </c>
      <c r="B115" t="s">
        <v>251</v>
      </c>
      <c r="C115" s="3">
        <f>'Raw Calculations'!E230</f>
        <v>319200</v>
      </c>
      <c r="D115" s="7">
        <f>'Raw Calculations'!H230</f>
        <v>0</v>
      </c>
      <c r="E115" s="7">
        <f t="shared" si="3"/>
        <v>319200</v>
      </c>
    </row>
    <row r="116" spans="1:5">
      <c r="A116" t="s">
        <v>247</v>
      </c>
      <c r="B116" t="s">
        <v>252</v>
      </c>
      <c r="C116" s="3">
        <f>'Raw Calculations'!E231</f>
        <v>26600</v>
      </c>
      <c r="D116" s="7">
        <f>'Raw Calculations'!H231</f>
        <v>0</v>
      </c>
      <c r="E116" s="7">
        <f t="shared" si="3"/>
        <v>26600</v>
      </c>
    </row>
    <row r="117" spans="1:5">
      <c r="A117" t="s">
        <v>247</v>
      </c>
      <c r="B117" t="s">
        <v>253</v>
      </c>
      <c r="C117" s="3">
        <f>'Raw Calculations'!E232</f>
        <v>59052</v>
      </c>
      <c r="D117" s="7">
        <f>'Raw Calculations'!H232</f>
        <v>0</v>
      </c>
      <c r="E117" s="7">
        <f t="shared" si="3"/>
        <v>59052</v>
      </c>
    </row>
    <row r="118" spans="1:5">
      <c r="A118" t="s">
        <v>247</v>
      </c>
      <c r="B118" t="s">
        <v>254</v>
      </c>
      <c r="C118" s="3">
        <f>'Raw Calculations'!E233</f>
        <v>23275</v>
      </c>
      <c r="D118" s="7">
        <f>'Raw Calculations'!H233</f>
        <v>0</v>
      </c>
      <c r="E118" s="7">
        <f t="shared" si="3"/>
        <v>23275</v>
      </c>
    </row>
    <row r="119" spans="1:5">
      <c r="A119" t="s">
        <v>247</v>
      </c>
      <c r="B119" t="s">
        <v>255</v>
      </c>
      <c r="C119" s="3">
        <f>'Raw Calculations'!E234</f>
        <v>158270</v>
      </c>
      <c r="D119" s="7">
        <f>'Raw Calculations'!H234</f>
        <v>0</v>
      </c>
      <c r="E119" s="7">
        <f t="shared" si="3"/>
        <v>158270</v>
      </c>
    </row>
    <row r="120" spans="1:5">
      <c r="A120" t="s">
        <v>247</v>
      </c>
      <c r="B120" t="s">
        <v>256</v>
      </c>
      <c r="C120" s="3">
        <f>'Raw Calculations'!E235</f>
        <v>133000</v>
      </c>
      <c r="D120" s="7">
        <f>'Raw Calculations'!H235</f>
        <v>0</v>
      </c>
      <c r="E120" s="7">
        <f t="shared" si="3"/>
        <v>133000</v>
      </c>
    </row>
    <row r="121" spans="1:5">
      <c r="A121" t="s">
        <v>247</v>
      </c>
      <c r="B121" t="s">
        <v>257</v>
      </c>
      <c r="C121" s="3">
        <f>'Raw Calculations'!E236</f>
        <v>133000</v>
      </c>
      <c r="D121" s="7">
        <f>'Raw Calculations'!H236</f>
        <v>0</v>
      </c>
      <c r="E121" s="7">
        <f t="shared" si="3"/>
        <v>133000</v>
      </c>
    </row>
    <row r="122" spans="1:5">
      <c r="A122" t="s">
        <v>247</v>
      </c>
      <c r="B122" t="s">
        <v>258</v>
      </c>
      <c r="C122" s="3">
        <f>'Raw Calculations'!E237</f>
        <v>78470</v>
      </c>
      <c r="D122" s="7">
        <f>'Raw Calculations'!H237</f>
        <v>0</v>
      </c>
      <c r="E122" s="7">
        <f t="shared" si="3"/>
        <v>78470</v>
      </c>
    </row>
    <row r="123" spans="1:5">
      <c r="A123" t="s">
        <v>247</v>
      </c>
      <c r="B123" t="s">
        <v>259</v>
      </c>
      <c r="C123" s="3">
        <f>'Raw Calculations'!E238</f>
        <v>26600</v>
      </c>
      <c r="D123" s="7">
        <f>'Raw Calculations'!H238</f>
        <v>0</v>
      </c>
      <c r="E123" s="7">
        <f t="shared" si="3"/>
        <v>26600</v>
      </c>
    </row>
    <row r="124" spans="1:5">
      <c r="A124" t="s">
        <v>247</v>
      </c>
      <c r="B124" t="s">
        <v>260</v>
      </c>
      <c r="C124" s="3">
        <f>'Raw Calculations'!E239</f>
        <v>47215</v>
      </c>
      <c r="D124" s="7">
        <f>'Raw Calculations'!H239</f>
        <v>0</v>
      </c>
      <c r="E124" s="7">
        <f t="shared" si="3"/>
        <v>47215</v>
      </c>
    </row>
    <row r="125" spans="1:5">
      <c r="A125" t="s">
        <v>247</v>
      </c>
      <c r="B125" t="s">
        <v>261</v>
      </c>
      <c r="C125" s="3">
        <f>'Raw Calculations'!E240</f>
        <v>111720</v>
      </c>
      <c r="D125" s="7">
        <f>'Raw Calculations'!H240</f>
        <v>0</v>
      </c>
      <c r="E125" s="7">
        <f t="shared" si="3"/>
        <v>111720</v>
      </c>
    </row>
    <row r="126" spans="1:5">
      <c r="A126" t="s">
        <v>247</v>
      </c>
      <c r="B126" t="s">
        <v>262</v>
      </c>
      <c r="C126" s="3">
        <f>'Raw Calculations'!E241</f>
        <v>23940</v>
      </c>
      <c r="D126" s="7">
        <f>'Raw Calculations'!H241</f>
        <v>0</v>
      </c>
      <c r="E126" s="7">
        <f t="shared" si="3"/>
        <v>23940</v>
      </c>
    </row>
    <row r="127" spans="1:5">
      <c r="A127" t="s">
        <v>247</v>
      </c>
      <c r="B127" t="s">
        <v>263</v>
      </c>
      <c r="C127" s="3">
        <f>'Raw Calculations'!E242</f>
        <v>98420</v>
      </c>
      <c r="D127" s="7">
        <f>'Raw Calculations'!H242</f>
        <v>0</v>
      </c>
      <c r="E127" s="7">
        <f t="shared" si="3"/>
        <v>98420</v>
      </c>
    </row>
    <row r="128" spans="1:5">
      <c r="A128" t="s">
        <v>247</v>
      </c>
      <c r="B128" t="s">
        <v>264</v>
      </c>
      <c r="C128" s="3">
        <f>'Raw Calculations'!E243</f>
        <v>33250</v>
      </c>
      <c r="D128" s="7">
        <f>'Raw Calculations'!H243</f>
        <v>0</v>
      </c>
      <c r="E128" s="7">
        <f t="shared" si="3"/>
        <v>33250</v>
      </c>
    </row>
    <row r="129" spans="1:5">
      <c r="A129" t="s">
        <v>247</v>
      </c>
      <c r="B129" t="s">
        <v>265</v>
      </c>
      <c r="C129" s="3">
        <f>'Raw Calculations'!E244</f>
        <v>65569</v>
      </c>
      <c r="D129" s="7">
        <f>'Raw Calculations'!H244</f>
        <v>0</v>
      </c>
      <c r="E129" s="7">
        <f t="shared" si="3"/>
        <v>65569</v>
      </c>
    </row>
    <row r="130" spans="1:5">
      <c r="A130" t="s">
        <v>247</v>
      </c>
      <c r="B130" t="s">
        <v>266</v>
      </c>
      <c r="C130" s="3">
        <f>'Raw Calculations'!E245</f>
        <v>0</v>
      </c>
      <c r="D130" s="7">
        <f>'Raw Calculations'!H245</f>
        <v>496678.7815</v>
      </c>
      <c r="E130" s="7">
        <f t="shared" si="3"/>
        <v>496678.7815</v>
      </c>
    </row>
    <row r="131" spans="1:5">
      <c r="A131" t="s">
        <v>247</v>
      </c>
      <c r="B131" t="s">
        <v>267</v>
      </c>
      <c r="C131" s="3">
        <f>'Raw Calculations'!E246</f>
        <v>0</v>
      </c>
      <c r="D131" s="7">
        <f>'Raw Calculations'!H246</f>
        <v>20006.6922</v>
      </c>
      <c r="E131" s="7">
        <f>C131+D131</f>
        <v>20006.6922</v>
      </c>
    </row>
    <row r="132" spans="1:5">
      <c r="A132" t="s">
        <v>247</v>
      </c>
      <c r="B132" t="s">
        <v>268</v>
      </c>
      <c r="C132" s="3">
        <f>'Raw Calculations'!E247</f>
        <v>22610</v>
      </c>
      <c r="D132" s="7">
        <f>'Raw Calculations'!H247</f>
        <v>0</v>
      </c>
      <c r="E132" s="7">
        <f>C132+D132</f>
        <v>22610</v>
      </c>
    </row>
    <row r="133" spans="1:5">
      <c r="A133" t="s">
        <v>247</v>
      </c>
      <c r="B133" t="s">
        <v>268</v>
      </c>
      <c r="C133" s="3">
        <f>'Raw Calculations'!E248</f>
        <v>23.142</v>
      </c>
      <c r="D133" s="7">
        <f>'Raw Calculations'!H248</f>
        <v>0</v>
      </c>
      <c r="E133" s="7">
        <f>C133+D133</f>
        <v>23.142</v>
      </c>
    </row>
    <row r="134" spans="1:5">
      <c r="A134" t="s">
        <v>247</v>
      </c>
      <c r="B134" t="s">
        <v>268</v>
      </c>
      <c r="C134" s="3">
        <f>'Raw Calculations'!E249</f>
        <v>3.458</v>
      </c>
      <c r="D134" s="7">
        <f>'Raw Calculations'!H249</f>
        <v>0</v>
      </c>
      <c r="E134" s="7">
        <f>C134+D134</f>
        <v>3.458</v>
      </c>
    </row>
    <row r="135" spans="1:5">
      <c r="A135" t="s">
        <v>247</v>
      </c>
      <c r="B135" t="s">
        <v>269</v>
      </c>
      <c r="C135" s="3">
        <f>'Raw Calculations'!E250</f>
        <v>0</v>
      </c>
      <c r="D135" s="7">
        <f>'Raw Calculations'!H250</f>
        <v>1263500</v>
      </c>
      <c r="E135" s="7">
        <f>C135+D135</f>
        <v>1263500</v>
      </c>
    </row>
    <row r="136" spans="1:5">
      <c r="A136" t="s">
        <v>247</v>
      </c>
      <c r="B136" t="s">
        <v>270</v>
      </c>
      <c r="C136" s="3">
        <f>'Raw Calculations'!E251</f>
        <v>414960</v>
      </c>
      <c r="D136" s="7">
        <f>'Raw Calculations'!H251</f>
        <v>0</v>
      </c>
      <c r="E136" s="7">
        <f>C136+D136</f>
        <v>414960</v>
      </c>
    </row>
    <row r="137" spans="1:5">
      <c r="A137" t="s">
        <v>247</v>
      </c>
      <c r="B137" t="s">
        <v>271</v>
      </c>
      <c r="C137" s="3">
        <f>'Raw Calculations'!E252</f>
        <v>0</v>
      </c>
      <c r="D137" s="7">
        <f>'Raw Calculations'!H252</f>
        <v>-1263500</v>
      </c>
      <c r="E137" s="7">
        <f>C137+D137</f>
        <v>-1263500</v>
      </c>
    </row>
    <row r="138" spans="1:5">
      <c r="A138" t="s">
        <v>247</v>
      </c>
      <c r="B138" t="s">
        <v>272</v>
      </c>
      <c r="C138" s="3">
        <f>'Raw Calculations'!E253</f>
        <v>931000</v>
      </c>
      <c r="D138" s="7">
        <f>'Raw Calculations'!H253</f>
        <v>0</v>
      </c>
      <c r="E138" s="7">
        <f>C138+D138</f>
        <v>931000</v>
      </c>
    </row>
    <row r="139" spans="1:5">
      <c r="A139" t="s">
        <v>247</v>
      </c>
      <c r="B139" t="s">
        <v>273</v>
      </c>
      <c r="C139" s="3">
        <f>'Raw Calculations'!E254</f>
        <v>0</v>
      </c>
      <c r="D139" s="7">
        <f>'Raw Calculations'!H254</f>
        <v>12505.0761</v>
      </c>
      <c r="E139" s="7">
        <f>C139+D139</f>
        <v>12505.0761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6"/>
  <sheetViews>
    <sheetView workbookViewId="0">
      <pane ySplit="1" topLeftCell="A58" activePane="bottomLeft" state="frozen"/>
      <selection/>
      <selection pane="bottomLeft" activeCell="A2" sqref="A2:E86"/>
    </sheetView>
  </sheetViews>
  <sheetFormatPr defaultColWidth="9" defaultRowHeight="16.8" outlineLevelCol="4"/>
  <cols>
    <col min="1" max="1" width="11" customWidth="1"/>
    <col min="2" max="2" width="19.75" customWidth="1"/>
    <col min="3" max="5" width="13.3125"/>
  </cols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274</v>
      </c>
      <c r="B2" t="s">
        <v>275</v>
      </c>
      <c r="C2" s="3">
        <f>'Raw Calculations'!E258</f>
        <v>0</v>
      </c>
      <c r="D2" s="3">
        <f>'Raw Calculations'!H258</f>
        <v>765111.9</v>
      </c>
      <c r="E2" s="7">
        <f>C2+D2</f>
        <v>765111.9</v>
      </c>
    </row>
    <row r="3" spans="1:5">
      <c r="A3" t="s">
        <v>274</v>
      </c>
      <c r="B3" t="s">
        <v>276</v>
      </c>
      <c r="C3" s="3">
        <f>'Raw Calculations'!E259</f>
        <v>0</v>
      </c>
      <c r="D3" s="3">
        <f>'Raw Calculations'!H259</f>
        <v>898380.51</v>
      </c>
      <c r="E3" s="7">
        <f t="shared" ref="E3:E34" si="0">C3+D3</f>
        <v>898380.51</v>
      </c>
    </row>
    <row r="4" spans="1:5">
      <c r="A4" t="s">
        <v>274</v>
      </c>
      <c r="B4" t="s">
        <v>277</v>
      </c>
      <c r="C4" s="3">
        <f>'Raw Calculations'!E260</f>
        <v>0</v>
      </c>
      <c r="D4" s="3">
        <f>'Raw Calculations'!H260</f>
        <v>96777.6576</v>
      </c>
      <c r="E4" s="7">
        <f t="shared" si="0"/>
        <v>96777.6576</v>
      </c>
    </row>
    <row r="5" spans="1:5">
      <c r="A5" t="s">
        <v>274</v>
      </c>
      <c r="B5" t="s">
        <v>278</v>
      </c>
      <c r="C5" s="3">
        <f>'Raw Calculations'!E261</f>
        <v>0</v>
      </c>
      <c r="D5" s="3">
        <f>'Raw Calculations'!H261</f>
        <v>469669.5468</v>
      </c>
      <c r="E5" s="7">
        <f t="shared" si="0"/>
        <v>469669.5468</v>
      </c>
    </row>
    <row r="6" spans="1:5">
      <c r="A6" t="s">
        <v>274</v>
      </c>
      <c r="B6" t="s">
        <v>279</v>
      </c>
      <c r="C6" s="3">
        <f>'Raw Calculations'!E262</f>
        <v>0</v>
      </c>
      <c r="D6" s="3">
        <f>'Raw Calculations'!H262</f>
        <v>464.2968</v>
      </c>
      <c r="E6" s="7">
        <f t="shared" si="0"/>
        <v>464.2968</v>
      </c>
    </row>
    <row r="7" spans="1:5">
      <c r="A7" t="s">
        <v>274</v>
      </c>
      <c r="B7" t="s">
        <v>280</v>
      </c>
      <c r="C7" s="3">
        <f>'Raw Calculations'!E263</f>
        <v>0</v>
      </c>
      <c r="D7" s="3">
        <f>'Raw Calculations'!H263</f>
        <v>173346.7428</v>
      </c>
      <c r="E7" s="7">
        <f t="shared" si="0"/>
        <v>173346.7428</v>
      </c>
    </row>
    <row r="8" spans="1:5">
      <c r="A8" t="s">
        <v>274</v>
      </c>
      <c r="B8" t="s">
        <v>281</v>
      </c>
      <c r="C8" s="3">
        <f>'Raw Calculations'!E264</f>
        <v>0</v>
      </c>
      <c r="D8" s="3">
        <f>'Raw Calculations'!H264</f>
        <v>11228.2632</v>
      </c>
      <c r="E8" s="7">
        <f t="shared" si="0"/>
        <v>11228.2632</v>
      </c>
    </row>
    <row r="9" spans="1:5">
      <c r="A9" t="s">
        <v>282</v>
      </c>
      <c r="B9" t="s">
        <v>283</v>
      </c>
      <c r="C9" s="3">
        <f>'Raw Calculations'!E265</f>
        <v>0</v>
      </c>
      <c r="D9" s="3">
        <f>'Raw Calculations'!H265</f>
        <v>108544.0572</v>
      </c>
      <c r="E9" s="7">
        <f t="shared" si="0"/>
        <v>108544.0572</v>
      </c>
    </row>
    <row r="10" spans="1:5">
      <c r="A10" t="s">
        <v>284</v>
      </c>
      <c r="B10" t="s">
        <v>285</v>
      </c>
      <c r="C10" s="3">
        <f>'Raw Calculations'!E266</f>
        <v>0</v>
      </c>
      <c r="D10" s="3">
        <f>'Raw Calculations'!H266</f>
        <v>786732.7644</v>
      </c>
      <c r="E10" s="7">
        <f t="shared" si="0"/>
        <v>786732.7644</v>
      </c>
    </row>
    <row r="11" spans="1:5">
      <c r="A11" t="s">
        <v>286</v>
      </c>
      <c r="B11" t="s">
        <v>287</v>
      </c>
      <c r="C11" s="3">
        <f>'Raw Calculations'!E267</f>
        <v>0</v>
      </c>
      <c r="D11" s="3">
        <f>'Raw Calculations'!H267</f>
        <v>928739.886</v>
      </c>
      <c r="E11" s="7">
        <f t="shared" si="0"/>
        <v>928739.886</v>
      </c>
    </row>
    <row r="12" spans="1:5">
      <c r="A12" t="s">
        <v>288</v>
      </c>
      <c r="B12" t="s">
        <v>289</v>
      </c>
      <c r="C12" s="3">
        <f>'Raw Calculations'!E268</f>
        <v>0</v>
      </c>
      <c r="D12" s="3">
        <f>'Raw Calculations'!H268</f>
        <v>749274.5184</v>
      </c>
      <c r="E12" s="7">
        <f t="shared" si="0"/>
        <v>749274.5184</v>
      </c>
    </row>
    <row r="13" spans="1:5">
      <c r="A13" t="s">
        <v>288</v>
      </c>
      <c r="B13" t="s">
        <v>290</v>
      </c>
      <c r="C13" s="3">
        <f>'Raw Calculations'!E269</f>
        <v>0</v>
      </c>
      <c r="D13" s="3">
        <f>'Raw Calculations'!H269</f>
        <v>785100.7596</v>
      </c>
      <c r="E13" s="7">
        <f t="shared" si="0"/>
        <v>785100.7596</v>
      </c>
    </row>
    <row r="14" spans="1:5">
      <c r="A14" t="s">
        <v>288</v>
      </c>
      <c r="B14" t="s">
        <v>291</v>
      </c>
      <c r="C14" s="3">
        <f>'Raw Calculations'!E270</f>
        <v>0</v>
      </c>
      <c r="D14" s="3">
        <f>'Raw Calculations'!H270</f>
        <v>31867.386</v>
      </c>
      <c r="E14" s="7">
        <f t="shared" si="0"/>
        <v>31867.386</v>
      </c>
    </row>
    <row r="15" spans="1:5">
      <c r="A15" t="s">
        <v>288</v>
      </c>
      <c r="B15" t="s">
        <v>292</v>
      </c>
      <c r="C15" s="3">
        <f>'Raw Calculations'!E271</f>
        <v>0</v>
      </c>
      <c r="D15" s="3">
        <f>'Raw Calculations'!H271</f>
        <v>35748.5832</v>
      </c>
      <c r="E15" s="7">
        <f t="shared" si="0"/>
        <v>35748.5832</v>
      </c>
    </row>
    <row r="16" spans="1:5">
      <c r="A16" t="s">
        <v>293</v>
      </c>
      <c r="B16" t="s">
        <v>294</v>
      </c>
      <c r="C16" s="3">
        <f>'Raw Calculations'!E272</f>
        <v>0</v>
      </c>
      <c r="D16" s="3">
        <f>'Raw Calculations'!H272</f>
        <v>829660.662</v>
      </c>
      <c r="E16" s="7">
        <f t="shared" si="0"/>
        <v>829660.662</v>
      </c>
    </row>
    <row r="17" spans="1:5">
      <c r="A17" t="s">
        <v>293</v>
      </c>
      <c r="B17" t="s">
        <v>295</v>
      </c>
      <c r="C17" s="3">
        <f>'Raw Calculations'!E273</f>
        <v>0</v>
      </c>
      <c r="D17" s="3">
        <f>'Raw Calculations'!H273</f>
        <v>464.3484</v>
      </c>
      <c r="E17" s="7">
        <f t="shared" si="0"/>
        <v>464.3484</v>
      </c>
    </row>
    <row r="18" spans="1:5">
      <c r="A18" t="s">
        <v>296</v>
      </c>
      <c r="B18" t="s">
        <v>297</v>
      </c>
      <c r="C18" s="3">
        <f>'Raw Calculations'!E274</f>
        <v>0</v>
      </c>
      <c r="D18" s="3">
        <f>'Raw Calculations'!H274</f>
        <v>1608586.6044</v>
      </c>
      <c r="E18" s="7">
        <f t="shared" si="0"/>
        <v>1608586.6044</v>
      </c>
    </row>
    <row r="19" spans="1:5">
      <c r="A19" t="s">
        <v>296</v>
      </c>
      <c r="B19" t="s">
        <v>298</v>
      </c>
      <c r="C19" s="3">
        <f>'Raw Calculations'!E275</f>
        <v>0</v>
      </c>
      <c r="D19" s="3">
        <f>'Raw Calculations'!H275</f>
        <v>18885.7548</v>
      </c>
      <c r="E19" s="7">
        <f t="shared" si="0"/>
        <v>18885.7548</v>
      </c>
    </row>
    <row r="20" spans="1:5">
      <c r="A20" t="s">
        <v>299</v>
      </c>
      <c r="B20" t="s">
        <v>300</v>
      </c>
      <c r="C20" s="3">
        <f>'Raw Calculations'!E276</f>
        <v>0</v>
      </c>
      <c r="D20" s="3">
        <f>'Raw Calculations'!H276</f>
        <v>773263.8228</v>
      </c>
      <c r="E20" s="7">
        <f t="shared" si="0"/>
        <v>773263.8228</v>
      </c>
    </row>
    <row r="21" spans="1:5">
      <c r="A21" t="s">
        <v>301</v>
      </c>
      <c r="B21" t="s">
        <v>302</v>
      </c>
      <c r="C21" s="3">
        <f>'Raw Calculations'!E277</f>
        <v>3338520</v>
      </c>
      <c r="D21" s="3">
        <f>'Raw Calculations'!H277</f>
        <v>0</v>
      </c>
      <c r="E21" s="7">
        <f t="shared" si="0"/>
        <v>3338520</v>
      </c>
    </row>
    <row r="22" spans="1:5">
      <c r="A22" t="s">
        <v>301</v>
      </c>
      <c r="B22" t="s">
        <v>303</v>
      </c>
      <c r="C22" s="3">
        <f>'Raw Calculations'!E278</f>
        <v>30960</v>
      </c>
      <c r="D22" s="3">
        <f>'Raw Calculations'!H278</f>
        <v>0</v>
      </c>
      <c r="E22" s="7">
        <f t="shared" si="0"/>
        <v>30960</v>
      </c>
    </row>
    <row r="23" spans="1:5">
      <c r="A23" t="s">
        <v>301</v>
      </c>
      <c r="B23" t="s">
        <v>304</v>
      </c>
      <c r="C23" s="3">
        <f>'Raw Calculations'!E279</f>
        <v>43860</v>
      </c>
      <c r="D23" s="3">
        <f>'Raw Calculations'!H279</f>
        <v>0</v>
      </c>
      <c r="E23" s="7">
        <f t="shared" si="0"/>
        <v>43860</v>
      </c>
    </row>
    <row r="24" spans="1:5">
      <c r="A24" t="s">
        <v>301</v>
      </c>
      <c r="B24" t="s">
        <v>305</v>
      </c>
      <c r="C24" s="3">
        <f>'Raw Calculations'!E280</f>
        <v>309600</v>
      </c>
      <c r="D24" s="3">
        <f>'Raw Calculations'!H280</f>
        <v>0</v>
      </c>
      <c r="E24" s="7">
        <f t="shared" si="0"/>
        <v>309600</v>
      </c>
    </row>
    <row r="25" spans="1:5">
      <c r="A25" t="s">
        <v>301</v>
      </c>
      <c r="B25" t="s">
        <v>306</v>
      </c>
      <c r="C25" s="3">
        <f>'Raw Calculations'!E281</f>
        <v>91590</v>
      </c>
      <c r="D25" s="3">
        <f>'Raw Calculations'!H281</f>
        <v>0</v>
      </c>
      <c r="E25" s="7">
        <f t="shared" si="0"/>
        <v>91590</v>
      </c>
    </row>
    <row r="26" spans="1:5">
      <c r="A26" t="s">
        <v>301</v>
      </c>
      <c r="B26" t="s">
        <v>307</v>
      </c>
      <c r="C26" s="3">
        <f>'Raw Calculations'!E282</f>
        <v>101910</v>
      </c>
      <c r="D26" s="3">
        <f>'Raw Calculations'!H282</f>
        <v>0</v>
      </c>
      <c r="E26" s="7">
        <f t="shared" si="0"/>
        <v>101910</v>
      </c>
    </row>
    <row r="27" spans="1:5">
      <c r="A27" t="s">
        <v>301</v>
      </c>
      <c r="B27" t="s">
        <v>308</v>
      </c>
      <c r="C27" s="3">
        <f>'Raw Calculations'!E283</f>
        <v>216720</v>
      </c>
      <c r="D27" s="3">
        <f>'Raw Calculations'!H283</f>
        <v>0</v>
      </c>
      <c r="E27" s="7">
        <f t="shared" si="0"/>
        <v>216720</v>
      </c>
    </row>
    <row r="28" spans="1:5">
      <c r="A28" t="s">
        <v>301</v>
      </c>
      <c r="B28" t="s">
        <v>309</v>
      </c>
      <c r="C28" s="3">
        <f>'Raw Calculations'!E284</f>
        <v>46440</v>
      </c>
      <c r="D28" s="3">
        <f>'Raw Calculations'!H284</f>
        <v>0</v>
      </c>
      <c r="E28" s="7">
        <f t="shared" si="0"/>
        <v>46440</v>
      </c>
    </row>
    <row r="29" spans="1:5">
      <c r="A29" t="s">
        <v>301</v>
      </c>
      <c r="B29" t="s">
        <v>310</v>
      </c>
      <c r="C29" s="3">
        <f>'Raw Calculations'!E285</f>
        <v>190920</v>
      </c>
      <c r="D29" s="3">
        <f>'Raw Calculations'!H285</f>
        <v>0</v>
      </c>
      <c r="E29" s="7">
        <f t="shared" si="0"/>
        <v>190920</v>
      </c>
    </row>
    <row r="30" spans="1:5">
      <c r="A30" t="s">
        <v>301</v>
      </c>
      <c r="B30" t="s">
        <v>311</v>
      </c>
      <c r="C30" s="3">
        <f>'Raw Calculations'!E286</f>
        <v>64500</v>
      </c>
      <c r="D30" s="3">
        <f>'Raw Calculations'!H286</f>
        <v>0</v>
      </c>
      <c r="E30" s="7">
        <f t="shared" si="0"/>
        <v>64500</v>
      </c>
    </row>
    <row r="31" spans="1:5">
      <c r="A31" t="s">
        <v>301</v>
      </c>
      <c r="B31" t="s">
        <v>312</v>
      </c>
      <c r="C31" s="3">
        <f>'Raw Calculations'!E287</f>
        <v>127194</v>
      </c>
      <c r="D31" s="3">
        <f>'Raw Calculations'!H287</f>
        <v>0</v>
      </c>
      <c r="E31" s="7">
        <f t="shared" si="0"/>
        <v>127194</v>
      </c>
    </row>
    <row r="32" spans="1:5">
      <c r="A32" t="s">
        <v>301</v>
      </c>
      <c r="B32" t="s">
        <v>313</v>
      </c>
      <c r="C32" s="3">
        <f>'Raw Calculations'!E288</f>
        <v>307020</v>
      </c>
      <c r="D32" s="3">
        <f>'Raw Calculations'!H288</f>
        <v>0</v>
      </c>
      <c r="E32" s="7">
        <f t="shared" si="0"/>
        <v>307020</v>
      </c>
    </row>
    <row r="33" spans="1:5">
      <c r="A33" t="s">
        <v>301</v>
      </c>
      <c r="B33" t="s">
        <v>314</v>
      </c>
      <c r="C33" s="3">
        <f>'Raw Calculations'!E289</f>
        <v>43860</v>
      </c>
      <c r="D33" s="3">
        <f>'Raw Calculations'!H289</f>
        <v>0</v>
      </c>
      <c r="E33" s="7">
        <f t="shared" si="0"/>
        <v>43860</v>
      </c>
    </row>
    <row r="34" spans="1:5">
      <c r="A34" t="s">
        <v>301</v>
      </c>
      <c r="B34" t="s">
        <v>315</v>
      </c>
      <c r="C34" s="3">
        <f>'Raw Calculations'!E290</f>
        <v>114552</v>
      </c>
      <c r="D34" s="3">
        <f>'Raw Calculations'!H290</f>
        <v>0</v>
      </c>
      <c r="E34" s="7">
        <f t="shared" si="0"/>
        <v>114552</v>
      </c>
    </row>
    <row r="35" spans="1:5">
      <c r="A35" t="s">
        <v>301</v>
      </c>
      <c r="B35" t="s">
        <v>316</v>
      </c>
      <c r="C35" s="3">
        <f>'Raw Calculations'!E291</f>
        <v>51600</v>
      </c>
      <c r="D35" s="3">
        <f>'Raw Calculations'!H291</f>
        <v>0</v>
      </c>
      <c r="E35" s="7">
        <f t="shared" ref="E35:E66" si="1">C35+D35</f>
        <v>51600</v>
      </c>
    </row>
    <row r="36" spans="1:5">
      <c r="A36" t="s">
        <v>301</v>
      </c>
      <c r="B36" t="s">
        <v>317</v>
      </c>
      <c r="C36" s="3">
        <f>'Raw Calculations'!E292</f>
        <v>619200</v>
      </c>
      <c r="D36" s="3">
        <f>'Raw Calculations'!H292</f>
        <v>0</v>
      </c>
      <c r="E36" s="7">
        <f t="shared" si="1"/>
        <v>619200</v>
      </c>
    </row>
    <row r="37" spans="1:5">
      <c r="A37" t="s">
        <v>301</v>
      </c>
      <c r="B37" t="s">
        <v>318</v>
      </c>
      <c r="C37" s="3">
        <f>'Raw Calculations'!E293</f>
        <v>619200</v>
      </c>
      <c r="D37" s="3">
        <f>'Raw Calculations'!H293</f>
        <v>0</v>
      </c>
      <c r="E37" s="7">
        <f t="shared" si="1"/>
        <v>619200</v>
      </c>
    </row>
    <row r="38" spans="1:5">
      <c r="A38" t="s">
        <v>301</v>
      </c>
      <c r="B38" t="s">
        <v>319</v>
      </c>
      <c r="C38" s="3">
        <f>'Raw Calculations'!E294</f>
        <v>0</v>
      </c>
      <c r="D38" s="3">
        <f>'Raw Calculations'!H294</f>
        <v>1148522.2944</v>
      </c>
      <c r="E38" s="7">
        <f t="shared" si="1"/>
        <v>1148522.2944</v>
      </c>
    </row>
    <row r="39" spans="1:5">
      <c r="A39" t="s">
        <v>301</v>
      </c>
      <c r="B39" t="s">
        <v>320</v>
      </c>
      <c r="C39" s="3">
        <f>'Raw Calculations'!E295</f>
        <v>810481.2</v>
      </c>
      <c r="D39" s="3">
        <f>'Raw Calculations'!H295</f>
        <v>0</v>
      </c>
      <c r="E39" s="7">
        <f t="shared" si="1"/>
        <v>810481.2</v>
      </c>
    </row>
    <row r="40" spans="1:5">
      <c r="A40" t="s">
        <v>301</v>
      </c>
      <c r="B40" t="s">
        <v>321</v>
      </c>
      <c r="C40" s="3">
        <f>'Raw Calculations'!E296</f>
        <v>43860</v>
      </c>
      <c r="D40" s="3">
        <f>'Raw Calculations'!H296</f>
        <v>0</v>
      </c>
      <c r="E40" s="7">
        <f t="shared" si="1"/>
        <v>43860</v>
      </c>
    </row>
    <row r="41" spans="1:5">
      <c r="A41" t="s">
        <v>301</v>
      </c>
      <c r="B41" t="s">
        <v>321</v>
      </c>
      <c r="C41" s="3">
        <f>'Raw Calculations'!E297</f>
        <v>44.892</v>
      </c>
      <c r="D41" s="3">
        <f>'Raw Calculations'!H297</f>
        <v>0</v>
      </c>
      <c r="E41" s="7">
        <f t="shared" si="1"/>
        <v>44.892</v>
      </c>
    </row>
    <row r="42" spans="1:5">
      <c r="A42" t="s">
        <v>301</v>
      </c>
      <c r="B42" t="s">
        <v>321</v>
      </c>
      <c r="C42" s="3">
        <f>'Raw Calculations'!E298</f>
        <v>6.708</v>
      </c>
      <c r="D42" s="3">
        <f>'Raw Calculations'!H298</f>
        <v>0</v>
      </c>
      <c r="E42" s="7">
        <f t="shared" si="1"/>
        <v>6.708</v>
      </c>
    </row>
    <row r="43" spans="1:5">
      <c r="A43" t="s">
        <v>301</v>
      </c>
      <c r="B43" t="s">
        <v>322</v>
      </c>
      <c r="C43" s="3">
        <f>'Raw Calculations'!E299</f>
        <v>0</v>
      </c>
      <c r="D43" s="3">
        <f>'Raw Calculations'!H299</f>
        <v>17874.2916</v>
      </c>
      <c r="E43" s="7">
        <f t="shared" si="1"/>
        <v>17874.2916</v>
      </c>
    </row>
    <row r="44" spans="1:5">
      <c r="A44" t="s">
        <v>323</v>
      </c>
      <c r="B44" t="s">
        <v>324</v>
      </c>
      <c r="C44" s="3">
        <f>'Raw Calculations'!E300</f>
        <v>0</v>
      </c>
      <c r="D44" s="3">
        <f>'Raw Calculations'!H300</f>
        <v>582215.2356</v>
      </c>
      <c r="E44" s="7">
        <f t="shared" si="1"/>
        <v>582215.2356</v>
      </c>
    </row>
    <row r="45" spans="1:5">
      <c r="A45" t="s">
        <v>323</v>
      </c>
      <c r="B45" t="s">
        <v>325</v>
      </c>
      <c r="C45" s="3">
        <f>'Raw Calculations'!E301</f>
        <v>0</v>
      </c>
      <c r="D45" s="3">
        <f>'Raw Calculations'!H301</f>
        <v>751601.1624</v>
      </c>
      <c r="E45" s="7">
        <f t="shared" si="1"/>
        <v>751601.1624</v>
      </c>
    </row>
    <row r="46" spans="1:5">
      <c r="A46" t="s">
        <v>323</v>
      </c>
      <c r="B46" t="s">
        <v>326</v>
      </c>
      <c r="C46" s="3">
        <f>'Raw Calculations'!E302</f>
        <v>0</v>
      </c>
      <c r="D46" s="3">
        <f>'Raw Calculations'!H302</f>
        <v>4280.5812</v>
      </c>
      <c r="E46" s="7">
        <f t="shared" si="1"/>
        <v>4280.5812</v>
      </c>
    </row>
    <row r="47" spans="1:5">
      <c r="A47" t="s">
        <v>323</v>
      </c>
      <c r="B47" t="s">
        <v>327</v>
      </c>
      <c r="C47" s="3">
        <f>'Raw Calculations'!E303</f>
        <v>0</v>
      </c>
      <c r="D47" s="3">
        <f>'Raw Calculations'!H303</f>
        <v>28596.8232</v>
      </c>
      <c r="E47" s="7">
        <f t="shared" si="1"/>
        <v>28596.8232</v>
      </c>
    </row>
    <row r="48" spans="1:5">
      <c r="A48" t="s">
        <v>328</v>
      </c>
      <c r="B48" t="s">
        <v>329</v>
      </c>
      <c r="C48" s="3">
        <f>'Raw Calculations'!E304</f>
        <v>0</v>
      </c>
      <c r="D48" s="3">
        <f>'Raw Calculations'!H304</f>
        <v>853858.8432</v>
      </c>
      <c r="E48" s="7">
        <f t="shared" si="1"/>
        <v>853858.8432</v>
      </c>
    </row>
    <row r="49" spans="1:5">
      <c r="A49" t="s">
        <v>328</v>
      </c>
      <c r="B49" t="s">
        <v>330</v>
      </c>
      <c r="C49" s="3">
        <f>'Raw Calculations'!E305</f>
        <v>309600</v>
      </c>
      <c r="D49" s="3">
        <f>'Raw Calculations'!H305</f>
        <v>0</v>
      </c>
      <c r="E49" s="7">
        <f t="shared" si="1"/>
        <v>309600</v>
      </c>
    </row>
    <row r="50" spans="1:5">
      <c r="A50" t="s">
        <v>331</v>
      </c>
      <c r="B50" t="s">
        <v>332</v>
      </c>
      <c r="C50" s="3">
        <f>'Raw Calculations'!E306</f>
        <v>0</v>
      </c>
      <c r="D50" s="3">
        <f>'Raw Calculations'!H306</f>
        <v>744496.3068</v>
      </c>
      <c r="E50" s="7">
        <f t="shared" si="1"/>
        <v>744496.3068</v>
      </c>
    </row>
    <row r="51" spans="1:5">
      <c r="A51" t="s">
        <v>331</v>
      </c>
      <c r="B51" t="s">
        <v>333</v>
      </c>
      <c r="C51" s="3">
        <f>'Raw Calculations'!E307</f>
        <v>0</v>
      </c>
      <c r="D51" s="3">
        <f>'Raw Calculations'!H307</f>
        <v>21445.0632</v>
      </c>
      <c r="E51" s="7">
        <f t="shared" si="1"/>
        <v>21445.0632</v>
      </c>
    </row>
    <row r="52" spans="1:5">
      <c r="A52" t="s">
        <v>331</v>
      </c>
      <c r="B52" t="s">
        <v>334</v>
      </c>
      <c r="C52" s="3">
        <f>'Raw Calculations'!E308</f>
        <v>28173.6</v>
      </c>
      <c r="D52" s="3">
        <f>'Raw Calculations'!H308</f>
        <v>0</v>
      </c>
      <c r="E52" s="7">
        <f t="shared" si="1"/>
        <v>28173.6</v>
      </c>
    </row>
    <row r="53" spans="1:5">
      <c r="A53" t="s">
        <v>331</v>
      </c>
      <c r="B53" t="s">
        <v>335</v>
      </c>
      <c r="C53" s="3">
        <f>'Raw Calculations'!E309</f>
        <v>0</v>
      </c>
      <c r="D53" s="3">
        <f>'Raw Calculations'!H309</f>
        <v>325.0284</v>
      </c>
      <c r="E53" s="7">
        <f t="shared" si="1"/>
        <v>325.0284</v>
      </c>
    </row>
    <row r="54" spans="1:5">
      <c r="A54" t="s">
        <v>331</v>
      </c>
      <c r="B54" t="s">
        <v>336</v>
      </c>
      <c r="C54" s="3">
        <f>'Raw Calculations'!E310</f>
        <v>54180</v>
      </c>
      <c r="D54" s="3">
        <f>'Raw Calculations'!H310</f>
        <v>0</v>
      </c>
      <c r="E54" s="7">
        <f t="shared" si="1"/>
        <v>54180</v>
      </c>
    </row>
    <row r="55" spans="1:5">
      <c r="A55" t="s">
        <v>331</v>
      </c>
      <c r="B55" t="s">
        <v>337</v>
      </c>
      <c r="C55" s="3">
        <f>'Raw Calculations'!E311</f>
        <v>72766.32</v>
      </c>
      <c r="D55" s="3">
        <f>'Raw Calculations'!H311</f>
        <v>0</v>
      </c>
      <c r="E55" s="7">
        <f t="shared" si="1"/>
        <v>72766.32</v>
      </c>
    </row>
    <row r="56" spans="1:5">
      <c r="A56" t="s">
        <v>338</v>
      </c>
      <c r="B56" t="s">
        <v>339</v>
      </c>
      <c r="C56" s="3">
        <f>'Raw Calculations'!E312</f>
        <v>0</v>
      </c>
      <c r="D56" s="3">
        <f>'Raw Calculations'!H312</f>
        <v>1041955.0848</v>
      </c>
      <c r="E56" s="7">
        <f t="shared" si="1"/>
        <v>1041955.0848</v>
      </c>
    </row>
    <row r="57" spans="1:5">
      <c r="A57" t="s">
        <v>340</v>
      </c>
      <c r="B57" t="s">
        <v>341</v>
      </c>
      <c r="C57" s="3">
        <f>'Raw Calculations'!E313</f>
        <v>0</v>
      </c>
      <c r="D57" s="3">
        <f>'Raw Calculations'!H313</f>
        <v>876292.5624</v>
      </c>
      <c r="E57" s="7">
        <f t="shared" si="1"/>
        <v>876292.5624</v>
      </c>
    </row>
    <row r="58" spans="1:5">
      <c r="A58" t="s">
        <v>340</v>
      </c>
      <c r="B58" t="s">
        <v>342</v>
      </c>
      <c r="C58" s="3">
        <f>'Raw Calculations'!E314</f>
        <v>0</v>
      </c>
      <c r="D58" s="3">
        <f>'Raw Calculations'!H314</f>
        <v>232.1484</v>
      </c>
      <c r="E58" s="7">
        <f t="shared" si="1"/>
        <v>232.1484</v>
      </c>
    </row>
    <row r="59" spans="1:5">
      <c r="A59" t="s">
        <v>343</v>
      </c>
      <c r="B59" t="s">
        <v>344</v>
      </c>
      <c r="C59" s="3">
        <f>'Raw Calculations'!E315</f>
        <v>0</v>
      </c>
      <c r="D59" s="3">
        <f>'Raw Calculations'!H315</f>
        <v>675068.61</v>
      </c>
      <c r="E59" s="7">
        <f t="shared" si="1"/>
        <v>675068.61</v>
      </c>
    </row>
    <row r="60" spans="1:5">
      <c r="A60" t="s">
        <v>343</v>
      </c>
      <c r="B60" t="s">
        <v>345</v>
      </c>
      <c r="C60" s="3">
        <f>'Raw Calculations'!E316</f>
        <v>0</v>
      </c>
      <c r="D60" s="3">
        <f>'Raw Calculations'!H316</f>
        <v>77204.0232</v>
      </c>
      <c r="E60" s="7">
        <f t="shared" si="1"/>
        <v>77204.0232</v>
      </c>
    </row>
    <row r="61" spans="1:5">
      <c r="A61" t="s">
        <v>343</v>
      </c>
      <c r="B61" t="s">
        <v>346</v>
      </c>
      <c r="C61" s="3">
        <f>'Raw Calculations'!E317</f>
        <v>0</v>
      </c>
      <c r="D61" s="3">
        <f>'Raw Calculations'!H317</f>
        <v>309910.0644</v>
      </c>
      <c r="E61" s="7">
        <f t="shared" si="1"/>
        <v>309910.0644</v>
      </c>
    </row>
    <row r="62" spans="1:5">
      <c r="A62" t="s">
        <v>343</v>
      </c>
      <c r="B62" t="s">
        <v>347</v>
      </c>
      <c r="C62" s="3">
        <f>'Raw Calculations'!E318</f>
        <v>25800</v>
      </c>
      <c r="D62" s="3">
        <f>'Raw Calculations'!H318</f>
        <v>0</v>
      </c>
      <c r="E62" s="7">
        <f t="shared" si="1"/>
        <v>25800</v>
      </c>
    </row>
    <row r="63" spans="1:5">
      <c r="A63" t="s">
        <v>343</v>
      </c>
      <c r="B63" t="s">
        <v>348</v>
      </c>
      <c r="C63" s="3">
        <f>'Raw Calculations'!E319</f>
        <v>25800</v>
      </c>
      <c r="D63" s="3">
        <f>'Raw Calculations'!H319</f>
        <v>0</v>
      </c>
      <c r="E63" s="7">
        <f t="shared" si="1"/>
        <v>25800</v>
      </c>
    </row>
    <row r="64" spans="1:5">
      <c r="A64" t="s">
        <v>343</v>
      </c>
      <c r="B64" t="s">
        <v>349</v>
      </c>
      <c r="C64" s="3">
        <f>'Raw Calculations'!E320</f>
        <v>41280</v>
      </c>
      <c r="D64" s="3">
        <f>'Raw Calculations'!H320</f>
        <v>0</v>
      </c>
      <c r="E64" s="7">
        <f t="shared" si="1"/>
        <v>41280</v>
      </c>
    </row>
    <row r="65" spans="1:5">
      <c r="A65" t="s">
        <v>343</v>
      </c>
      <c r="B65" t="s">
        <v>350</v>
      </c>
      <c r="C65" s="3">
        <f>'Raw Calculations'!E321</f>
        <v>2064727.56</v>
      </c>
      <c r="D65" s="3">
        <f>'Raw Calculations'!H321</f>
        <v>0</v>
      </c>
      <c r="E65" s="7">
        <f t="shared" si="1"/>
        <v>2064727.56</v>
      </c>
    </row>
    <row r="66" spans="1:5">
      <c r="A66" t="s">
        <v>351</v>
      </c>
      <c r="B66" t="s">
        <v>352</v>
      </c>
      <c r="C66" s="3">
        <f>'Raw Calculations'!E322</f>
        <v>0</v>
      </c>
      <c r="D66" s="3">
        <f>'Raw Calculations'!H322</f>
        <v>774204.5424</v>
      </c>
      <c r="E66" s="7">
        <f t="shared" si="1"/>
        <v>774204.5424</v>
      </c>
    </row>
    <row r="67" spans="1:5">
      <c r="A67" t="s">
        <v>351</v>
      </c>
      <c r="B67" t="s">
        <v>353</v>
      </c>
      <c r="C67" s="3">
        <f>'Raw Calculations'!E323</f>
        <v>258000</v>
      </c>
      <c r="D67" s="3">
        <f>'Raw Calculations'!H323</f>
        <v>0</v>
      </c>
      <c r="E67" s="7">
        <f t="shared" ref="E67:E86" si="2">C67+D67</f>
        <v>258000</v>
      </c>
    </row>
    <row r="68" spans="1:5">
      <c r="A68" t="s">
        <v>351</v>
      </c>
      <c r="B68" t="s">
        <v>354</v>
      </c>
      <c r="C68" s="3">
        <f>'Raw Calculations'!E324</f>
        <v>0</v>
      </c>
      <c r="D68" s="3">
        <f>'Raw Calculations'!H324</f>
        <v>10722.5316</v>
      </c>
      <c r="E68" s="7">
        <f t="shared" si="2"/>
        <v>10722.5316</v>
      </c>
    </row>
    <row r="69" spans="1:5">
      <c r="A69" t="s">
        <v>355</v>
      </c>
      <c r="B69" t="s">
        <v>356</v>
      </c>
      <c r="C69" s="3">
        <f>'Raw Calculations'!E325</f>
        <v>0</v>
      </c>
      <c r="D69" s="3">
        <f>'Raw Calculations'!H325</f>
        <v>837055.0968</v>
      </c>
      <c r="E69" s="7">
        <f t="shared" si="2"/>
        <v>837055.0968</v>
      </c>
    </row>
    <row r="70" spans="1:5">
      <c r="A70" t="s">
        <v>355</v>
      </c>
      <c r="B70" t="s">
        <v>357</v>
      </c>
      <c r="C70" s="3">
        <f>'Raw Calculations'!E326</f>
        <v>1548</v>
      </c>
      <c r="D70" s="3">
        <f>'Raw Calculations'!H326</f>
        <v>0</v>
      </c>
      <c r="E70" s="7">
        <f t="shared" si="2"/>
        <v>1548</v>
      </c>
    </row>
    <row r="71" spans="1:5">
      <c r="A71" t="s">
        <v>355</v>
      </c>
      <c r="B71" t="s">
        <v>358</v>
      </c>
      <c r="C71" s="3">
        <f>'Raw Calculations'!E327</f>
        <v>232.2</v>
      </c>
      <c r="D71" s="3">
        <f>'Raw Calculations'!H327</f>
        <v>0</v>
      </c>
      <c r="E71" s="7">
        <f t="shared" si="2"/>
        <v>232.2</v>
      </c>
    </row>
    <row r="72" spans="1:5">
      <c r="A72" t="s">
        <v>359</v>
      </c>
      <c r="B72" t="s">
        <v>360</v>
      </c>
      <c r="C72" s="3">
        <f>'Raw Calculations'!E328</f>
        <v>0</v>
      </c>
      <c r="D72" s="3">
        <f>'Raw Calculations'!H328</f>
        <v>650194.6752</v>
      </c>
      <c r="E72" s="7">
        <f t="shared" si="2"/>
        <v>650194.6752</v>
      </c>
    </row>
    <row r="73" spans="1:5">
      <c r="A73" t="s">
        <v>359</v>
      </c>
      <c r="B73" t="s">
        <v>361</v>
      </c>
      <c r="C73" s="3">
        <f>'Raw Calculations'!E329</f>
        <v>0</v>
      </c>
      <c r="D73" s="3">
        <f>'Raw Calculations'!H329</f>
        <v>21445.0632</v>
      </c>
      <c r="E73" s="7">
        <f t="shared" si="2"/>
        <v>21445.0632</v>
      </c>
    </row>
    <row r="74" spans="1:5">
      <c r="A74" t="s">
        <v>359</v>
      </c>
      <c r="B74" t="s">
        <v>362</v>
      </c>
      <c r="C74" s="3">
        <f>'Raw Calculations'!E330</f>
        <v>0</v>
      </c>
      <c r="D74" s="3">
        <f>'Raw Calculations'!H330</f>
        <v>464.2968</v>
      </c>
      <c r="E74" s="7">
        <f t="shared" si="2"/>
        <v>464.2968</v>
      </c>
    </row>
    <row r="75" spans="1:5">
      <c r="A75" t="s">
        <v>363</v>
      </c>
      <c r="B75" t="s">
        <v>364</v>
      </c>
      <c r="C75" s="3">
        <f>'Raw Calculations'!E331</f>
        <v>0</v>
      </c>
      <c r="D75" s="3">
        <f>'Raw Calculations'!H331</f>
        <v>530112.8064</v>
      </c>
      <c r="E75" s="7">
        <f t="shared" si="2"/>
        <v>530112.8064</v>
      </c>
    </row>
    <row r="76" spans="1:5">
      <c r="A76" t="s">
        <v>363</v>
      </c>
      <c r="B76" t="s">
        <v>365</v>
      </c>
      <c r="C76" s="3">
        <f>'Raw Calculations'!E332</f>
        <v>2270400</v>
      </c>
      <c r="D76" s="3">
        <f>'Raw Calculations'!H332</f>
        <v>0</v>
      </c>
      <c r="E76" s="7">
        <f t="shared" si="2"/>
        <v>2270400</v>
      </c>
    </row>
    <row r="77" spans="1:5">
      <c r="A77" t="s">
        <v>366</v>
      </c>
      <c r="B77" t="s">
        <v>367</v>
      </c>
      <c r="C77" s="3">
        <f>'Raw Calculations'!E333</f>
        <v>0</v>
      </c>
      <c r="D77" s="3">
        <f>'Raw Calculations'!H333</f>
        <v>1147933.2804</v>
      </c>
      <c r="E77" s="7">
        <f t="shared" si="2"/>
        <v>1147933.2804</v>
      </c>
    </row>
    <row r="78" spans="1:5">
      <c r="A78" t="s">
        <v>366</v>
      </c>
      <c r="B78" t="s">
        <v>368</v>
      </c>
      <c r="C78" s="3">
        <f>'Raw Calculations'!E334</f>
        <v>0</v>
      </c>
      <c r="D78" s="3">
        <f>'Raw Calculations'!H334</f>
        <v>551561.3268</v>
      </c>
      <c r="E78" s="7">
        <f t="shared" si="2"/>
        <v>551561.3268</v>
      </c>
    </row>
    <row r="79" spans="1:5">
      <c r="A79" t="s">
        <v>366</v>
      </c>
      <c r="B79" t="s">
        <v>369</v>
      </c>
      <c r="C79" s="3">
        <f>'Raw Calculations'!E335</f>
        <v>21424.32</v>
      </c>
      <c r="D79" s="3">
        <f>'Raw Calculations'!H335</f>
        <v>0</v>
      </c>
      <c r="E79" s="7">
        <f t="shared" si="2"/>
        <v>21424.32</v>
      </c>
    </row>
    <row r="80" spans="1:5">
      <c r="A80" t="s">
        <v>366</v>
      </c>
      <c r="B80" t="s">
        <v>370</v>
      </c>
      <c r="C80" s="3">
        <f>'Raw Calculations'!E336</f>
        <v>367381.68</v>
      </c>
      <c r="D80" s="3">
        <f>'Raw Calculations'!H336</f>
        <v>0</v>
      </c>
      <c r="E80" s="7">
        <f t="shared" si="2"/>
        <v>367381.68</v>
      </c>
    </row>
    <row r="81" spans="1:5">
      <c r="A81" t="s">
        <v>366</v>
      </c>
      <c r="B81" t="s">
        <v>370</v>
      </c>
      <c r="C81" s="3">
        <f>'Raw Calculations'!E337</f>
        <v>44.892</v>
      </c>
      <c r="D81" s="3">
        <f>'Raw Calculations'!H337</f>
        <v>0</v>
      </c>
      <c r="E81" s="7">
        <f t="shared" si="2"/>
        <v>44.892</v>
      </c>
    </row>
    <row r="82" spans="1:5">
      <c r="A82" t="s">
        <v>366</v>
      </c>
      <c r="B82" t="s">
        <v>370</v>
      </c>
      <c r="C82" s="3">
        <f>'Raw Calculations'!E338</f>
        <v>6.708</v>
      </c>
      <c r="D82" s="3">
        <f>'Raw Calculations'!H338</f>
        <v>0</v>
      </c>
      <c r="E82" s="7">
        <f t="shared" si="2"/>
        <v>6.708</v>
      </c>
    </row>
    <row r="83" spans="1:5">
      <c r="A83" t="s">
        <v>371</v>
      </c>
      <c r="B83" t="s">
        <v>372</v>
      </c>
      <c r="C83" s="3">
        <f>'Raw Calculations'!E339</f>
        <v>0</v>
      </c>
      <c r="D83" s="3">
        <f>'Raw Calculations'!H339</f>
        <v>842895.3396</v>
      </c>
      <c r="E83" s="7">
        <f t="shared" si="2"/>
        <v>842895.3396</v>
      </c>
    </row>
    <row r="84" spans="1:5">
      <c r="A84" t="s">
        <v>371</v>
      </c>
      <c r="B84" t="s">
        <v>373</v>
      </c>
      <c r="C84" s="3">
        <f>'Raw Calculations'!E340</f>
        <v>0</v>
      </c>
      <c r="D84" s="3">
        <f>'Raw Calculations'!H340</f>
        <v>87928.4124</v>
      </c>
      <c r="E84" s="7">
        <f t="shared" si="2"/>
        <v>87928.4124</v>
      </c>
    </row>
    <row r="85" spans="1:5">
      <c r="A85" t="s">
        <v>371</v>
      </c>
      <c r="B85" t="s">
        <v>374</v>
      </c>
      <c r="C85" s="3">
        <f>'Raw Calculations'!E341</f>
        <v>129000</v>
      </c>
      <c r="D85" s="3">
        <f>'Raw Calculations'!H341</f>
        <v>0</v>
      </c>
      <c r="E85" s="7">
        <f t="shared" si="2"/>
        <v>129000</v>
      </c>
    </row>
    <row r="86" spans="1:5">
      <c r="A86" t="s">
        <v>375</v>
      </c>
      <c r="B86" t="s">
        <v>376</v>
      </c>
      <c r="C86" s="3">
        <f>'Raw Calculations'!E342</f>
        <v>0</v>
      </c>
      <c r="D86" s="3">
        <f>'Raw Calculations'!H342</f>
        <v>536364.6108</v>
      </c>
      <c r="E86" s="7">
        <f t="shared" si="2"/>
        <v>536364.6108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43"/>
  <sheetViews>
    <sheetView workbookViewId="0">
      <pane ySplit="1" topLeftCell="A2" activePane="bottomLeft" state="frozen"/>
      <selection/>
      <selection pane="bottomLeft" activeCell="A258" sqref="A258:B342"/>
    </sheetView>
  </sheetViews>
  <sheetFormatPr defaultColWidth="9" defaultRowHeight="16.8"/>
  <cols>
    <col min="1" max="1" width="11" customWidth="1"/>
    <col min="2" max="2" width="19.75" customWidth="1"/>
    <col min="5" max="5" width="14.4375"/>
    <col min="8" max="8" width="14.4375" customWidth="1"/>
  </cols>
  <sheetData>
    <row r="1" s="1" customFormat="1" spans="1:9">
      <c r="A1" s="2" t="s">
        <v>0</v>
      </c>
      <c r="B1" s="2" t="s">
        <v>1</v>
      </c>
      <c r="C1" s="2" t="s">
        <v>377</v>
      </c>
      <c r="D1" s="2" t="s">
        <v>378</v>
      </c>
      <c r="E1" s="2" t="s">
        <v>379</v>
      </c>
      <c r="F1" s="2" t="s">
        <v>3</v>
      </c>
      <c r="G1" s="2" t="s">
        <v>378</v>
      </c>
      <c r="H1" s="2" t="s">
        <v>380</v>
      </c>
      <c r="I1" s="2" t="s">
        <v>4</v>
      </c>
    </row>
    <row r="2" spans="1:11">
      <c r="A2" t="s">
        <v>5</v>
      </c>
      <c r="B2" t="s">
        <v>6</v>
      </c>
      <c r="C2" t="s">
        <v>381</v>
      </c>
      <c r="D2">
        <v>2.85</v>
      </c>
      <c r="E2">
        <f t="shared" ref="E2:E65" si="0">C2*D2</f>
        <v>0</v>
      </c>
      <c r="F2" t="s">
        <v>382</v>
      </c>
      <c r="G2">
        <v>3.33</v>
      </c>
      <c r="H2" s="3">
        <f t="shared" ref="H2:H65" si="1">F2*G2</f>
        <v>675247.7763</v>
      </c>
      <c r="I2" t="s">
        <v>383</v>
      </c>
      <c r="J2" t="s">
        <v>383</v>
      </c>
      <c r="K2" t="s">
        <v>383</v>
      </c>
    </row>
    <row r="3" spans="1:11">
      <c r="A3" t="s">
        <v>5</v>
      </c>
      <c r="B3" t="s">
        <v>7</v>
      </c>
      <c r="C3" t="s">
        <v>384</v>
      </c>
      <c r="D3">
        <v>2.85</v>
      </c>
      <c r="E3">
        <f t="shared" si="0"/>
        <v>34200</v>
      </c>
      <c r="F3" t="s">
        <v>381</v>
      </c>
      <c r="G3">
        <v>3.33</v>
      </c>
      <c r="H3" s="3">
        <f t="shared" si="1"/>
        <v>0</v>
      </c>
      <c r="I3" t="s">
        <v>383</v>
      </c>
      <c r="J3" t="s">
        <v>383</v>
      </c>
      <c r="K3" t="s">
        <v>383</v>
      </c>
    </row>
    <row r="4" spans="1:11">
      <c r="A4" t="s">
        <v>5</v>
      </c>
      <c r="B4" t="s">
        <v>8</v>
      </c>
      <c r="C4" t="s">
        <v>385</v>
      </c>
      <c r="D4">
        <v>2.85</v>
      </c>
      <c r="E4">
        <f t="shared" si="0"/>
        <v>48450</v>
      </c>
      <c r="F4" t="s">
        <v>381</v>
      </c>
      <c r="G4">
        <v>3.33</v>
      </c>
      <c r="H4" s="3">
        <f t="shared" si="1"/>
        <v>0</v>
      </c>
      <c r="I4" t="s">
        <v>383</v>
      </c>
      <c r="J4" t="s">
        <v>383</v>
      </c>
      <c r="K4" t="s">
        <v>383</v>
      </c>
    </row>
    <row r="5" spans="1:11">
      <c r="A5" t="s">
        <v>5</v>
      </c>
      <c r="B5" t="s">
        <v>9</v>
      </c>
      <c r="C5" t="s">
        <v>386</v>
      </c>
      <c r="D5">
        <v>2.85</v>
      </c>
      <c r="E5">
        <f t="shared" si="0"/>
        <v>126540</v>
      </c>
      <c r="F5" t="s">
        <v>381</v>
      </c>
      <c r="G5">
        <v>3.33</v>
      </c>
      <c r="H5" s="3">
        <f t="shared" si="1"/>
        <v>0</v>
      </c>
      <c r="I5" t="s">
        <v>383</v>
      </c>
      <c r="J5" t="s">
        <v>383</v>
      </c>
      <c r="K5" t="s">
        <v>383</v>
      </c>
    </row>
    <row r="6" spans="1:11">
      <c r="A6" t="s">
        <v>5</v>
      </c>
      <c r="B6" t="s">
        <v>10</v>
      </c>
      <c r="C6" t="s">
        <v>387</v>
      </c>
      <c r="D6">
        <v>2.85</v>
      </c>
      <c r="E6">
        <f t="shared" si="0"/>
        <v>239400</v>
      </c>
      <c r="F6" t="s">
        <v>381</v>
      </c>
      <c r="G6">
        <v>3.33</v>
      </c>
      <c r="H6" s="3">
        <f t="shared" si="1"/>
        <v>0</v>
      </c>
      <c r="I6" t="s">
        <v>383</v>
      </c>
      <c r="J6" t="s">
        <v>383</v>
      </c>
      <c r="K6" t="s">
        <v>383</v>
      </c>
    </row>
    <row r="7" spans="1:11">
      <c r="A7" t="s">
        <v>5</v>
      </c>
      <c r="B7" t="s">
        <v>11</v>
      </c>
      <c r="C7" t="s">
        <v>388</v>
      </c>
      <c r="D7">
        <v>2.85</v>
      </c>
      <c r="E7">
        <f t="shared" si="0"/>
        <v>101175</v>
      </c>
      <c r="F7" t="s">
        <v>381</v>
      </c>
      <c r="G7">
        <v>3.33</v>
      </c>
      <c r="H7" s="3">
        <f t="shared" si="1"/>
        <v>0</v>
      </c>
      <c r="I7" t="s">
        <v>383</v>
      </c>
      <c r="J7" t="s">
        <v>383</v>
      </c>
      <c r="K7" t="s">
        <v>383</v>
      </c>
    </row>
    <row r="8" spans="1:11">
      <c r="A8" t="s">
        <v>5</v>
      </c>
      <c r="B8" t="s">
        <v>12</v>
      </c>
      <c r="C8" t="s">
        <v>389</v>
      </c>
      <c r="D8">
        <v>2.85</v>
      </c>
      <c r="E8">
        <f t="shared" si="0"/>
        <v>112575</v>
      </c>
      <c r="F8" t="s">
        <v>381</v>
      </c>
      <c r="G8">
        <v>3.33</v>
      </c>
      <c r="H8" s="3">
        <f t="shared" si="1"/>
        <v>0</v>
      </c>
      <c r="I8" t="s">
        <v>383</v>
      </c>
      <c r="J8" t="s">
        <v>383</v>
      </c>
      <c r="K8" t="s">
        <v>383</v>
      </c>
    </row>
    <row r="9" spans="1:11">
      <c r="A9" t="s">
        <v>5</v>
      </c>
      <c r="B9" t="s">
        <v>13</v>
      </c>
      <c r="C9" t="s">
        <v>390</v>
      </c>
      <c r="D9">
        <v>2.85</v>
      </c>
      <c r="E9">
        <f t="shared" si="0"/>
        <v>57000</v>
      </c>
      <c r="F9" t="s">
        <v>381</v>
      </c>
      <c r="G9">
        <v>3.33</v>
      </c>
      <c r="H9" s="3">
        <f t="shared" si="1"/>
        <v>0</v>
      </c>
      <c r="I9" t="s">
        <v>383</v>
      </c>
      <c r="J9" t="s">
        <v>383</v>
      </c>
      <c r="K9" t="s">
        <v>383</v>
      </c>
    </row>
    <row r="10" spans="1:11">
      <c r="A10" t="s">
        <v>5</v>
      </c>
      <c r="B10" t="s">
        <v>14</v>
      </c>
      <c r="C10" t="s">
        <v>391</v>
      </c>
      <c r="D10">
        <v>2.85</v>
      </c>
      <c r="E10">
        <f t="shared" si="0"/>
        <v>210900</v>
      </c>
      <c r="F10" t="s">
        <v>381</v>
      </c>
      <c r="G10">
        <v>3.33</v>
      </c>
      <c r="H10" s="3">
        <f t="shared" si="1"/>
        <v>0</v>
      </c>
      <c r="I10" t="s">
        <v>383</v>
      </c>
      <c r="J10" t="s">
        <v>383</v>
      </c>
      <c r="K10" t="s">
        <v>383</v>
      </c>
    </row>
    <row r="11" spans="1:11">
      <c r="A11" t="s">
        <v>5</v>
      </c>
      <c r="B11" t="s">
        <v>15</v>
      </c>
      <c r="C11" t="s">
        <v>392</v>
      </c>
      <c r="D11">
        <v>2.85</v>
      </c>
      <c r="E11">
        <f t="shared" si="0"/>
        <v>95475</v>
      </c>
      <c r="F11" t="s">
        <v>381</v>
      </c>
      <c r="G11">
        <v>3.33</v>
      </c>
      <c r="H11" s="3">
        <f t="shared" si="1"/>
        <v>0</v>
      </c>
      <c r="I11" t="s">
        <v>383</v>
      </c>
      <c r="J11" t="s">
        <v>383</v>
      </c>
      <c r="K11" t="s">
        <v>383</v>
      </c>
    </row>
    <row r="12" spans="1:11">
      <c r="A12" t="s">
        <v>5</v>
      </c>
      <c r="B12" t="s">
        <v>16</v>
      </c>
      <c r="C12" t="s">
        <v>393</v>
      </c>
      <c r="D12">
        <v>2.85</v>
      </c>
      <c r="E12">
        <f t="shared" si="0"/>
        <v>140505</v>
      </c>
      <c r="F12" t="s">
        <v>381</v>
      </c>
      <c r="G12">
        <v>3.33</v>
      </c>
      <c r="H12" s="3">
        <f t="shared" si="1"/>
        <v>0</v>
      </c>
      <c r="I12" t="s">
        <v>383</v>
      </c>
      <c r="J12" t="s">
        <v>383</v>
      </c>
      <c r="K12" t="s">
        <v>383</v>
      </c>
    </row>
    <row r="13" spans="1:11">
      <c r="A13" t="s">
        <v>5</v>
      </c>
      <c r="B13" t="s">
        <v>17</v>
      </c>
      <c r="C13" t="s">
        <v>394</v>
      </c>
      <c r="D13">
        <v>2.85</v>
      </c>
      <c r="E13">
        <f t="shared" si="0"/>
        <v>339150</v>
      </c>
      <c r="F13" t="s">
        <v>381</v>
      </c>
      <c r="G13">
        <v>3.33</v>
      </c>
      <c r="H13" s="3">
        <f t="shared" si="1"/>
        <v>0</v>
      </c>
      <c r="I13" t="s">
        <v>383</v>
      </c>
      <c r="J13" t="s">
        <v>383</v>
      </c>
      <c r="K13" t="s">
        <v>383</v>
      </c>
    </row>
    <row r="14" spans="1:11">
      <c r="A14" t="s">
        <v>5</v>
      </c>
      <c r="B14" t="s">
        <v>18</v>
      </c>
      <c r="C14" t="s">
        <v>395</v>
      </c>
      <c r="D14">
        <v>2.85</v>
      </c>
      <c r="E14">
        <f t="shared" si="0"/>
        <v>71250</v>
      </c>
      <c r="F14" t="s">
        <v>381</v>
      </c>
      <c r="G14">
        <v>3.33</v>
      </c>
      <c r="H14" s="3">
        <f t="shared" si="1"/>
        <v>0</v>
      </c>
      <c r="I14" t="s">
        <v>383</v>
      </c>
      <c r="J14" t="s">
        <v>383</v>
      </c>
      <c r="K14" t="s">
        <v>383</v>
      </c>
    </row>
    <row r="15" spans="1:11">
      <c r="A15" t="s">
        <v>5</v>
      </c>
      <c r="B15" t="s">
        <v>19</v>
      </c>
      <c r="C15" t="s">
        <v>396</v>
      </c>
      <c r="D15">
        <v>2.85</v>
      </c>
      <c r="E15">
        <f t="shared" si="0"/>
        <v>51300</v>
      </c>
      <c r="F15" t="s">
        <v>381</v>
      </c>
      <c r="G15">
        <v>3.33</v>
      </c>
      <c r="H15" s="3">
        <f t="shared" si="1"/>
        <v>0</v>
      </c>
      <c r="I15" t="s">
        <v>383</v>
      </c>
      <c r="J15" t="s">
        <v>383</v>
      </c>
      <c r="K15" t="s">
        <v>383</v>
      </c>
    </row>
    <row r="16" spans="1:11">
      <c r="A16" t="s">
        <v>5</v>
      </c>
      <c r="B16" t="s">
        <v>20</v>
      </c>
      <c r="C16" t="s">
        <v>397</v>
      </c>
      <c r="D16">
        <v>2.85</v>
      </c>
      <c r="E16">
        <f t="shared" si="0"/>
        <v>49875</v>
      </c>
      <c r="F16" t="s">
        <v>381</v>
      </c>
      <c r="G16">
        <v>3.33</v>
      </c>
      <c r="H16" s="3">
        <f t="shared" si="1"/>
        <v>0</v>
      </c>
      <c r="I16" t="s">
        <v>383</v>
      </c>
      <c r="J16" t="s">
        <v>383</v>
      </c>
      <c r="K16" t="s">
        <v>383</v>
      </c>
    </row>
    <row r="17" spans="1:11">
      <c r="A17" t="s">
        <v>5</v>
      </c>
      <c r="B17" t="s">
        <v>21</v>
      </c>
      <c r="C17" t="s">
        <v>398</v>
      </c>
      <c r="D17">
        <v>2.85</v>
      </c>
      <c r="E17">
        <f t="shared" si="0"/>
        <v>85500</v>
      </c>
      <c r="F17" t="s">
        <v>381</v>
      </c>
      <c r="G17">
        <v>3.33</v>
      </c>
      <c r="H17" s="3">
        <f t="shared" si="1"/>
        <v>0</v>
      </c>
      <c r="I17" t="s">
        <v>383</v>
      </c>
      <c r="J17" t="s">
        <v>383</v>
      </c>
      <c r="K17" t="s">
        <v>383</v>
      </c>
    </row>
    <row r="18" spans="1:11">
      <c r="A18" t="s">
        <v>5</v>
      </c>
      <c r="B18" t="s">
        <v>22</v>
      </c>
      <c r="C18" t="s">
        <v>381</v>
      </c>
      <c r="D18">
        <v>2.85</v>
      </c>
      <c r="E18">
        <f t="shared" si="0"/>
        <v>0</v>
      </c>
      <c r="F18" t="s">
        <v>399</v>
      </c>
      <c r="G18">
        <v>3.33</v>
      </c>
      <c r="H18" s="3">
        <f t="shared" si="1"/>
        <v>149.8167</v>
      </c>
      <c r="I18" t="s">
        <v>383</v>
      </c>
      <c r="J18" t="s">
        <v>383</v>
      </c>
      <c r="K18" t="s">
        <v>383</v>
      </c>
    </row>
    <row r="19" spans="1:11">
      <c r="A19" t="s">
        <v>5</v>
      </c>
      <c r="B19" t="s">
        <v>23</v>
      </c>
      <c r="C19" t="s">
        <v>400</v>
      </c>
      <c r="D19">
        <v>2.85</v>
      </c>
      <c r="E19">
        <f t="shared" si="0"/>
        <v>2257200</v>
      </c>
      <c r="F19" t="s">
        <v>381</v>
      </c>
      <c r="G19">
        <v>3.33</v>
      </c>
      <c r="H19" s="3">
        <f t="shared" si="1"/>
        <v>0</v>
      </c>
      <c r="I19" t="s">
        <v>383</v>
      </c>
      <c r="J19" t="s">
        <v>383</v>
      </c>
      <c r="K19" t="s">
        <v>383</v>
      </c>
    </row>
    <row r="20" spans="1:11">
      <c r="A20" t="s">
        <v>5</v>
      </c>
      <c r="B20" t="s">
        <v>24</v>
      </c>
      <c r="C20" t="s">
        <v>401</v>
      </c>
      <c r="D20">
        <v>2.85</v>
      </c>
      <c r="E20">
        <f t="shared" si="0"/>
        <v>55005</v>
      </c>
      <c r="F20" t="s">
        <v>381</v>
      </c>
      <c r="G20">
        <v>3.33</v>
      </c>
      <c r="H20" s="3">
        <f t="shared" si="1"/>
        <v>0</v>
      </c>
      <c r="I20" t="s">
        <v>383</v>
      </c>
      <c r="J20" t="s">
        <v>383</v>
      </c>
      <c r="K20" t="s">
        <v>383</v>
      </c>
    </row>
    <row r="21" spans="1:11">
      <c r="A21" t="s">
        <v>5</v>
      </c>
      <c r="B21" t="s">
        <v>24</v>
      </c>
      <c r="C21" t="s">
        <v>402</v>
      </c>
      <c r="D21">
        <v>2.85</v>
      </c>
      <c r="E21">
        <f t="shared" si="0"/>
        <v>24.795</v>
      </c>
      <c r="F21" t="s">
        <v>381</v>
      </c>
      <c r="G21">
        <v>3.33</v>
      </c>
      <c r="H21" s="3">
        <f t="shared" si="1"/>
        <v>0</v>
      </c>
      <c r="I21" t="s">
        <v>383</v>
      </c>
      <c r="J21" t="s">
        <v>383</v>
      </c>
      <c r="K21" t="s">
        <v>383</v>
      </c>
    </row>
    <row r="22" spans="1:11">
      <c r="A22" t="s">
        <v>5</v>
      </c>
      <c r="B22" t="s">
        <v>24</v>
      </c>
      <c r="C22" t="s">
        <v>403</v>
      </c>
      <c r="D22">
        <v>2.85</v>
      </c>
      <c r="E22">
        <f t="shared" si="0"/>
        <v>3.705</v>
      </c>
      <c r="F22" t="s">
        <v>381</v>
      </c>
      <c r="G22">
        <v>3.33</v>
      </c>
      <c r="H22" s="3">
        <f t="shared" si="1"/>
        <v>0</v>
      </c>
      <c r="I22" t="s">
        <v>383</v>
      </c>
      <c r="J22" t="s">
        <v>383</v>
      </c>
      <c r="K22" t="s">
        <v>383</v>
      </c>
    </row>
    <row r="23" spans="1:11">
      <c r="A23" t="s">
        <v>5</v>
      </c>
      <c r="B23" t="s">
        <v>25</v>
      </c>
      <c r="C23" t="s">
        <v>404</v>
      </c>
      <c r="D23">
        <v>2.85</v>
      </c>
      <c r="E23">
        <f t="shared" si="0"/>
        <v>92625</v>
      </c>
      <c r="F23" t="s">
        <v>381</v>
      </c>
      <c r="G23">
        <v>3.33</v>
      </c>
      <c r="H23" s="3">
        <f t="shared" si="1"/>
        <v>0</v>
      </c>
      <c r="I23" t="s">
        <v>383</v>
      </c>
      <c r="J23" t="s">
        <v>383</v>
      </c>
      <c r="K23" t="s">
        <v>383</v>
      </c>
    </row>
    <row r="24" spans="1:11">
      <c r="A24" t="s">
        <v>5</v>
      </c>
      <c r="B24" t="s">
        <v>25</v>
      </c>
      <c r="C24" t="s">
        <v>402</v>
      </c>
      <c r="D24">
        <v>2.85</v>
      </c>
      <c r="E24">
        <f t="shared" si="0"/>
        <v>24.795</v>
      </c>
      <c r="F24" t="s">
        <v>381</v>
      </c>
      <c r="G24">
        <v>3.33</v>
      </c>
      <c r="H24" s="3">
        <f t="shared" si="1"/>
        <v>0</v>
      </c>
      <c r="I24" t="s">
        <v>383</v>
      </c>
      <c r="J24" t="s">
        <v>383</v>
      </c>
      <c r="K24" t="s">
        <v>383</v>
      </c>
    </row>
    <row r="25" spans="1:11">
      <c r="A25" t="s">
        <v>5</v>
      </c>
      <c r="B25" t="s">
        <v>25</v>
      </c>
      <c r="C25" t="s">
        <v>403</v>
      </c>
      <c r="D25">
        <v>2.85</v>
      </c>
      <c r="E25">
        <f t="shared" si="0"/>
        <v>3.705</v>
      </c>
      <c r="F25" t="s">
        <v>381</v>
      </c>
      <c r="G25">
        <v>3.33</v>
      </c>
      <c r="H25" s="3">
        <f t="shared" si="1"/>
        <v>0</v>
      </c>
      <c r="I25" t="s">
        <v>383</v>
      </c>
      <c r="J25" t="s">
        <v>383</v>
      </c>
      <c r="K25" t="s">
        <v>383</v>
      </c>
    </row>
    <row r="26" spans="1:11">
      <c r="A26" t="s">
        <v>26</v>
      </c>
      <c r="B26" t="s">
        <v>27</v>
      </c>
      <c r="C26" t="s">
        <v>405</v>
      </c>
      <c r="D26">
        <v>2.85</v>
      </c>
      <c r="E26">
        <f t="shared" si="0"/>
        <v>55575</v>
      </c>
      <c r="F26" t="s">
        <v>381</v>
      </c>
      <c r="G26">
        <v>3.33</v>
      </c>
      <c r="H26" s="3">
        <f t="shared" si="1"/>
        <v>0</v>
      </c>
      <c r="I26" t="s">
        <v>383</v>
      </c>
      <c r="J26" t="s">
        <v>383</v>
      </c>
      <c r="K26" t="s">
        <v>383</v>
      </c>
    </row>
    <row r="27" spans="1:11">
      <c r="A27" t="s">
        <v>26</v>
      </c>
      <c r="B27" t="s">
        <v>27</v>
      </c>
      <c r="C27" t="s">
        <v>402</v>
      </c>
      <c r="D27">
        <v>2.85</v>
      </c>
      <c r="E27">
        <f t="shared" si="0"/>
        <v>24.795</v>
      </c>
      <c r="F27" t="s">
        <v>381</v>
      </c>
      <c r="G27">
        <v>3.33</v>
      </c>
      <c r="H27" s="3">
        <f t="shared" si="1"/>
        <v>0</v>
      </c>
      <c r="I27" t="s">
        <v>383</v>
      </c>
      <c r="J27" t="s">
        <v>383</v>
      </c>
      <c r="K27" t="s">
        <v>383</v>
      </c>
    </row>
    <row r="28" spans="1:11">
      <c r="A28" t="s">
        <v>26</v>
      </c>
      <c r="B28" t="s">
        <v>27</v>
      </c>
      <c r="C28" t="s">
        <v>403</v>
      </c>
      <c r="D28">
        <v>2.85</v>
      </c>
      <c r="E28">
        <f t="shared" si="0"/>
        <v>3.705</v>
      </c>
      <c r="F28" t="s">
        <v>381</v>
      </c>
      <c r="G28">
        <v>3.33</v>
      </c>
      <c r="H28" s="3">
        <f t="shared" si="1"/>
        <v>0</v>
      </c>
      <c r="I28" t="s">
        <v>383</v>
      </c>
      <c r="J28" t="s">
        <v>383</v>
      </c>
      <c r="K28" t="s">
        <v>383</v>
      </c>
    </row>
    <row r="29" spans="1:11">
      <c r="A29" t="s">
        <v>26</v>
      </c>
      <c r="B29" t="s">
        <v>28</v>
      </c>
      <c r="C29" t="s">
        <v>406</v>
      </c>
      <c r="D29">
        <v>2.85</v>
      </c>
      <c r="E29">
        <f t="shared" si="0"/>
        <v>8830.782</v>
      </c>
      <c r="F29" t="s">
        <v>381</v>
      </c>
      <c r="G29">
        <v>3.33</v>
      </c>
      <c r="H29" s="3">
        <f t="shared" si="1"/>
        <v>0</v>
      </c>
      <c r="I29" t="s">
        <v>383</v>
      </c>
      <c r="J29" t="s">
        <v>383</v>
      </c>
      <c r="K29" t="s">
        <v>383</v>
      </c>
    </row>
    <row r="30" spans="1:11">
      <c r="A30" t="s">
        <v>26</v>
      </c>
      <c r="B30" t="s">
        <v>29</v>
      </c>
      <c r="C30" t="s">
        <v>381</v>
      </c>
      <c r="D30">
        <v>2.85</v>
      </c>
      <c r="E30">
        <f t="shared" si="0"/>
        <v>0</v>
      </c>
      <c r="F30" t="s">
        <v>407</v>
      </c>
      <c r="G30">
        <v>3.33</v>
      </c>
      <c r="H30" s="3">
        <f t="shared" si="1"/>
        <v>252235.2789</v>
      </c>
      <c r="I30" t="s">
        <v>383</v>
      </c>
      <c r="J30" t="s">
        <v>383</v>
      </c>
      <c r="K30" t="s">
        <v>383</v>
      </c>
    </row>
    <row r="31" spans="1:11">
      <c r="A31" t="s">
        <v>26</v>
      </c>
      <c r="B31" t="s">
        <v>30</v>
      </c>
      <c r="C31" t="s">
        <v>381</v>
      </c>
      <c r="D31">
        <v>2.85</v>
      </c>
      <c r="E31">
        <f t="shared" si="0"/>
        <v>0</v>
      </c>
      <c r="F31" t="s">
        <v>408</v>
      </c>
      <c r="G31">
        <v>3.33</v>
      </c>
      <c r="H31" s="3">
        <f t="shared" si="1"/>
        <v>1645.0533</v>
      </c>
      <c r="I31" t="s">
        <v>383</v>
      </c>
      <c r="J31" t="s">
        <v>383</v>
      </c>
      <c r="K31" t="s">
        <v>383</v>
      </c>
    </row>
    <row r="32" spans="1:11">
      <c r="A32" t="s">
        <v>31</v>
      </c>
      <c r="B32" t="s">
        <v>32</v>
      </c>
      <c r="C32" t="s">
        <v>381</v>
      </c>
      <c r="D32">
        <v>2.85</v>
      </c>
      <c r="E32">
        <f t="shared" si="0"/>
        <v>0</v>
      </c>
      <c r="F32" t="s">
        <v>409</v>
      </c>
      <c r="G32">
        <v>3.33</v>
      </c>
      <c r="H32" s="3">
        <f t="shared" si="1"/>
        <v>671011.1172</v>
      </c>
      <c r="I32" t="s">
        <v>383</v>
      </c>
      <c r="J32" t="s">
        <v>383</v>
      </c>
      <c r="K32" t="s">
        <v>383</v>
      </c>
    </row>
    <row r="33" spans="1:11">
      <c r="A33" t="s">
        <v>31</v>
      </c>
      <c r="B33" t="s">
        <v>33</v>
      </c>
      <c r="C33" t="s">
        <v>381</v>
      </c>
      <c r="D33">
        <v>2.85</v>
      </c>
      <c r="E33">
        <f t="shared" si="0"/>
        <v>0</v>
      </c>
      <c r="F33" t="s">
        <v>410</v>
      </c>
      <c r="G33">
        <v>3.33</v>
      </c>
      <c r="H33" s="3">
        <f t="shared" si="1"/>
        <v>727147.8243</v>
      </c>
      <c r="I33" t="s">
        <v>383</v>
      </c>
      <c r="J33" t="s">
        <v>383</v>
      </c>
      <c r="K33" t="s">
        <v>383</v>
      </c>
    </row>
    <row r="34" spans="1:11">
      <c r="A34" t="s">
        <v>31</v>
      </c>
      <c r="B34" t="s">
        <v>34</v>
      </c>
      <c r="C34" t="s">
        <v>381</v>
      </c>
      <c r="D34">
        <v>2.85</v>
      </c>
      <c r="E34">
        <f t="shared" si="0"/>
        <v>0</v>
      </c>
      <c r="F34" t="s">
        <v>411</v>
      </c>
      <c r="G34">
        <v>3.33</v>
      </c>
      <c r="H34" s="3">
        <f t="shared" si="1"/>
        <v>666000</v>
      </c>
      <c r="I34" t="s">
        <v>383</v>
      </c>
      <c r="J34" t="s">
        <v>383</v>
      </c>
      <c r="K34" t="s">
        <v>383</v>
      </c>
    </row>
    <row r="35" spans="1:11">
      <c r="A35" t="s">
        <v>31</v>
      </c>
      <c r="B35" t="s">
        <v>35</v>
      </c>
      <c r="C35" t="s">
        <v>412</v>
      </c>
      <c r="D35">
        <v>2.85</v>
      </c>
      <c r="E35">
        <f t="shared" si="0"/>
        <v>684000</v>
      </c>
      <c r="F35" t="s">
        <v>381</v>
      </c>
      <c r="G35">
        <v>3.33</v>
      </c>
      <c r="H35" s="3">
        <f t="shared" si="1"/>
        <v>0</v>
      </c>
      <c r="I35" t="s">
        <v>383</v>
      </c>
      <c r="J35" t="s">
        <v>383</v>
      </c>
      <c r="K35" t="s">
        <v>383</v>
      </c>
    </row>
    <row r="36" spans="1:11">
      <c r="A36" t="s">
        <v>31</v>
      </c>
      <c r="B36" t="s">
        <v>35</v>
      </c>
      <c r="C36" t="s">
        <v>402</v>
      </c>
      <c r="D36">
        <v>2.85</v>
      </c>
      <c r="E36">
        <f t="shared" si="0"/>
        <v>24.795</v>
      </c>
      <c r="F36" t="s">
        <v>381</v>
      </c>
      <c r="G36">
        <v>3.33</v>
      </c>
      <c r="H36" s="3">
        <f t="shared" si="1"/>
        <v>0</v>
      </c>
      <c r="I36" t="s">
        <v>383</v>
      </c>
      <c r="J36" t="s">
        <v>383</v>
      </c>
      <c r="K36" t="s">
        <v>383</v>
      </c>
    </row>
    <row r="37" spans="1:11">
      <c r="A37" t="s">
        <v>31</v>
      </c>
      <c r="B37" t="s">
        <v>35</v>
      </c>
      <c r="C37" t="s">
        <v>403</v>
      </c>
      <c r="D37">
        <v>2.85</v>
      </c>
      <c r="E37">
        <f t="shared" si="0"/>
        <v>3.705</v>
      </c>
      <c r="F37" t="s">
        <v>381</v>
      </c>
      <c r="G37">
        <v>3.33</v>
      </c>
      <c r="H37" s="3">
        <f t="shared" si="1"/>
        <v>0</v>
      </c>
      <c r="I37" t="s">
        <v>383</v>
      </c>
      <c r="J37" t="s">
        <v>383</v>
      </c>
      <c r="K37" t="s">
        <v>383</v>
      </c>
    </row>
    <row r="38" spans="1:11">
      <c r="A38" t="s">
        <v>31</v>
      </c>
      <c r="B38" t="s">
        <v>36</v>
      </c>
      <c r="C38" t="s">
        <v>412</v>
      </c>
      <c r="D38">
        <v>2.85</v>
      </c>
      <c r="E38">
        <f t="shared" si="0"/>
        <v>684000</v>
      </c>
      <c r="F38" t="s">
        <v>381</v>
      </c>
      <c r="G38">
        <v>3.33</v>
      </c>
      <c r="H38" s="3">
        <f t="shared" si="1"/>
        <v>0</v>
      </c>
      <c r="I38" t="s">
        <v>383</v>
      </c>
      <c r="J38" t="s">
        <v>383</v>
      </c>
      <c r="K38" t="s">
        <v>383</v>
      </c>
    </row>
    <row r="39" spans="1:11">
      <c r="A39" t="s">
        <v>31</v>
      </c>
      <c r="B39" t="s">
        <v>36</v>
      </c>
      <c r="C39" t="s">
        <v>402</v>
      </c>
      <c r="D39">
        <v>2.85</v>
      </c>
      <c r="E39">
        <f t="shared" si="0"/>
        <v>24.795</v>
      </c>
      <c r="F39" t="s">
        <v>381</v>
      </c>
      <c r="G39">
        <v>3.33</v>
      </c>
      <c r="H39" s="3">
        <f t="shared" si="1"/>
        <v>0</v>
      </c>
      <c r="I39" t="s">
        <v>383</v>
      </c>
      <c r="J39" t="s">
        <v>383</v>
      </c>
      <c r="K39" t="s">
        <v>383</v>
      </c>
    </row>
    <row r="40" spans="1:11">
      <c r="A40" t="s">
        <v>31</v>
      </c>
      <c r="B40" t="s">
        <v>36</v>
      </c>
      <c r="C40" t="s">
        <v>403</v>
      </c>
      <c r="D40">
        <v>2.85</v>
      </c>
      <c r="E40">
        <f t="shared" si="0"/>
        <v>3.705</v>
      </c>
      <c r="F40" t="s">
        <v>381</v>
      </c>
      <c r="G40">
        <v>3.33</v>
      </c>
      <c r="H40" s="3">
        <f t="shared" si="1"/>
        <v>0</v>
      </c>
      <c r="I40" t="s">
        <v>383</v>
      </c>
      <c r="J40" t="s">
        <v>383</v>
      </c>
      <c r="K40" t="s">
        <v>383</v>
      </c>
    </row>
    <row r="41" spans="1:11">
      <c r="A41" t="s">
        <v>31</v>
      </c>
      <c r="B41" t="s">
        <v>37</v>
      </c>
      <c r="C41" t="s">
        <v>381</v>
      </c>
      <c r="D41">
        <v>2.85</v>
      </c>
      <c r="E41">
        <f t="shared" si="0"/>
        <v>0</v>
      </c>
      <c r="F41" t="s">
        <v>413</v>
      </c>
      <c r="G41">
        <v>3.33</v>
      </c>
      <c r="H41" s="3">
        <f t="shared" si="1"/>
        <v>3083.1471</v>
      </c>
      <c r="I41" t="s">
        <v>383</v>
      </c>
      <c r="J41" t="s">
        <v>383</v>
      </c>
      <c r="K41" t="s">
        <v>383</v>
      </c>
    </row>
    <row r="42" spans="1:11">
      <c r="A42" t="s">
        <v>31</v>
      </c>
      <c r="B42" t="s">
        <v>38</v>
      </c>
      <c r="C42" t="s">
        <v>381</v>
      </c>
      <c r="D42">
        <v>2.85</v>
      </c>
      <c r="E42">
        <f t="shared" si="0"/>
        <v>0</v>
      </c>
      <c r="F42" t="s">
        <v>414</v>
      </c>
      <c r="G42">
        <v>3.33</v>
      </c>
      <c r="H42" s="3">
        <f t="shared" si="1"/>
        <v>15484.5999</v>
      </c>
      <c r="I42" t="s">
        <v>383</v>
      </c>
      <c r="J42" t="s">
        <v>383</v>
      </c>
      <c r="K42" t="s">
        <v>383</v>
      </c>
    </row>
    <row r="43" spans="1:11">
      <c r="A43" t="s">
        <v>39</v>
      </c>
      <c r="B43" t="s">
        <v>40</v>
      </c>
      <c r="C43" t="s">
        <v>381</v>
      </c>
      <c r="D43">
        <v>2.85</v>
      </c>
      <c r="E43">
        <f t="shared" si="0"/>
        <v>0</v>
      </c>
      <c r="F43" t="s">
        <v>415</v>
      </c>
      <c r="G43">
        <v>3.33</v>
      </c>
      <c r="H43" s="3">
        <f t="shared" si="1"/>
        <v>732232.3347</v>
      </c>
      <c r="I43" t="s">
        <v>383</v>
      </c>
      <c r="J43" t="s">
        <v>383</v>
      </c>
      <c r="K43" t="s">
        <v>383</v>
      </c>
    </row>
    <row r="44" spans="1:11">
      <c r="A44" t="s">
        <v>39</v>
      </c>
      <c r="B44" t="s">
        <v>41</v>
      </c>
      <c r="C44" t="s">
        <v>416</v>
      </c>
      <c r="D44">
        <v>2.85</v>
      </c>
      <c r="E44">
        <f t="shared" si="0"/>
        <v>62700</v>
      </c>
      <c r="F44" t="s">
        <v>381</v>
      </c>
      <c r="G44">
        <v>3.33</v>
      </c>
      <c r="H44" s="3">
        <f t="shared" si="1"/>
        <v>0</v>
      </c>
      <c r="I44" t="s">
        <v>383</v>
      </c>
      <c r="J44" t="s">
        <v>383</v>
      </c>
      <c r="K44" t="s">
        <v>383</v>
      </c>
    </row>
    <row r="45" spans="1:11">
      <c r="A45" t="s">
        <v>39</v>
      </c>
      <c r="B45" t="s">
        <v>41</v>
      </c>
      <c r="C45" t="s">
        <v>402</v>
      </c>
      <c r="D45">
        <v>2.85</v>
      </c>
      <c r="E45">
        <f t="shared" si="0"/>
        <v>24.795</v>
      </c>
      <c r="F45" t="s">
        <v>381</v>
      </c>
      <c r="G45">
        <v>3.33</v>
      </c>
      <c r="H45" s="3">
        <f t="shared" si="1"/>
        <v>0</v>
      </c>
      <c r="I45" t="s">
        <v>383</v>
      </c>
      <c r="J45" t="s">
        <v>383</v>
      </c>
      <c r="K45" t="s">
        <v>383</v>
      </c>
    </row>
    <row r="46" spans="1:11">
      <c r="A46" t="s">
        <v>39</v>
      </c>
      <c r="B46" t="s">
        <v>41</v>
      </c>
      <c r="C46" t="s">
        <v>403</v>
      </c>
      <c r="D46">
        <v>2.85</v>
      </c>
      <c r="E46">
        <f t="shared" si="0"/>
        <v>3.705</v>
      </c>
      <c r="F46" t="s">
        <v>381</v>
      </c>
      <c r="G46">
        <v>3.33</v>
      </c>
      <c r="H46" s="3">
        <f t="shared" si="1"/>
        <v>0</v>
      </c>
      <c r="I46" t="s">
        <v>383</v>
      </c>
      <c r="J46" t="s">
        <v>383</v>
      </c>
      <c r="K46" t="s">
        <v>383</v>
      </c>
    </row>
    <row r="47" spans="1:11">
      <c r="A47" t="s">
        <v>39</v>
      </c>
      <c r="B47" t="s">
        <v>42</v>
      </c>
      <c r="C47" t="s">
        <v>417</v>
      </c>
      <c r="D47">
        <v>2.85</v>
      </c>
      <c r="E47">
        <f t="shared" si="0"/>
        <v>8977.5</v>
      </c>
      <c r="F47" t="s">
        <v>381</v>
      </c>
      <c r="G47">
        <v>3.33</v>
      </c>
      <c r="H47" s="3">
        <f t="shared" si="1"/>
        <v>0</v>
      </c>
      <c r="I47" t="s">
        <v>383</v>
      </c>
      <c r="J47" t="s">
        <v>383</v>
      </c>
      <c r="K47" t="s">
        <v>383</v>
      </c>
    </row>
    <row r="48" spans="1:11">
      <c r="A48" t="s">
        <v>39</v>
      </c>
      <c r="B48" t="s">
        <v>43</v>
      </c>
      <c r="C48" t="s">
        <v>381</v>
      </c>
      <c r="D48">
        <v>2.85</v>
      </c>
      <c r="E48">
        <f t="shared" si="0"/>
        <v>0</v>
      </c>
      <c r="F48" t="s">
        <v>418</v>
      </c>
      <c r="G48">
        <v>3.33</v>
      </c>
      <c r="H48" s="3">
        <f t="shared" si="1"/>
        <v>20426.3532</v>
      </c>
      <c r="I48" t="s">
        <v>383</v>
      </c>
      <c r="J48" t="s">
        <v>383</v>
      </c>
      <c r="K48" t="s">
        <v>383</v>
      </c>
    </row>
    <row r="49" spans="1:11">
      <c r="A49" t="s">
        <v>39</v>
      </c>
      <c r="B49" t="s">
        <v>44</v>
      </c>
      <c r="C49" t="s">
        <v>419</v>
      </c>
      <c r="D49">
        <v>2.85</v>
      </c>
      <c r="E49">
        <f t="shared" si="0"/>
        <v>171000</v>
      </c>
      <c r="F49" t="s">
        <v>381</v>
      </c>
      <c r="G49">
        <v>3.33</v>
      </c>
      <c r="H49" s="3">
        <f t="shared" si="1"/>
        <v>0</v>
      </c>
      <c r="I49" t="s">
        <v>383</v>
      </c>
      <c r="J49" t="s">
        <v>383</v>
      </c>
      <c r="K49" t="s">
        <v>383</v>
      </c>
    </row>
    <row r="50" spans="1:11">
      <c r="A50" t="s">
        <v>45</v>
      </c>
      <c r="B50" t="s">
        <v>46</v>
      </c>
      <c r="C50" t="s">
        <v>381</v>
      </c>
      <c r="D50">
        <v>2.85</v>
      </c>
      <c r="E50">
        <f t="shared" si="0"/>
        <v>0</v>
      </c>
      <c r="F50" t="s">
        <v>420</v>
      </c>
      <c r="G50">
        <v>3.33</v>
      </c>
      <c r="H50" s="3">
        <f t="shared" si="1"/>
        <v>698874.1929</v>
      </c>
      <c r="I50" t="s">
        <v>383</v>
      </c>
      <c r="J50" t="s">
        <v>383</v>
      </c>
      <c r="K50" t="s">
        <v>383</v>
      </c>
    </row>
    <row r="51" spans="1:11">
      <c r="A51" t="s">
        <v>45</v>
      </c>
      <c r="B51" t="s">
        <v>47</v>
      </c>
      <c r="C51" t="s">
        <v>421</v>
      </c>
      <c r="D51">
        <v>2.85</v>
      </c>
      <c r="E51">
        <f t="shared" si="0"/>
        <v>199500</v>
      </c>
      <c r="F51" t="s">
        <v>381</v>
      </c>
      <c r="G51">
        <v>3.33</v>
      </c>
      <c r="H51" s="3">
        <f t="shared" si="1"/>
        <v>0</v>
      </c>
      <c r="I51" t="s">
        <v>383</v>
      </c>
      <c r="J51" t="s">
        <v>383</v>
      </c>
      <c r="K51" t="s">
        <v>383</v>
      </c>
    </row>
    <row r="52" spans="1:11">
      <c r="A52" t="s">
        <v>45</v>
      </c>
      <c r="B52" t="s">
        <v>48</v>
      </c>
      <c r="C52" t="s">
        <v>422</v>
      </c>
      <c r="D52">
        <v>2.85</v>
      </c>
      <c r="E52">
        <f t="shared" si="0"/>
        <v>296400</v>
      </c>
      <c r="F52" t="s">
        <v>381</v>
      </c>
      <c r="G52">
        <v>3.33</v>
      </c>
      <c r="H52" s="3">
        <f t="shared" si="1"/>
        <v>0</v>
      </c>
      <c r="I52" t="s">
        <v>383</v>
      </c>
      <c r="J52" t="s">
        <v>383</v>
      </c>
      <c r="K52" t="s">
        <v>383</v>
      </c>
    </row>
    <row r="53" spans="1:11">
      <c r="A53" t="s">
        <v>45</v>
      </c>
      <c r="B53" t="s">
        <v>49</v>
      </c>
      <c r="C53" t="s">
        <v>381</v>
      </c>
      <c r="D53">
        <v>2.85</v>
      </c>
      <c r="E53">
        <f t="shared" si="0"/>
        <v>0</v>
      </c>
      <c r="F53" t="s">
        <v>423</v>
      </c>
      <c r="G53">
        <v>3.33</v>
      </c>
      <c r="H53" s="3">
        <f t="shared" si="1"/>
        <v>4935.1599</v>
      </c>
      <c r="I53" t="s">
        <v>383</v>
      </c>
      <c r="J53" t="s">
        <v>383</v>
      </c>
      <c r="K53" t="s">
        <v>383</v>
      </c>
    </row>
    <row r="54" spans="1:11">
      <c r="A54" t="s">
        <v>50</v>
      </c>
      <c r="B54" t="s">
        <v>51</v>
      </c>
      <c r="C54" t="s">
        <v>381</v>
      </c>
      <c r="D54">
        <v>2.85</v>
      </c>
      <c r="E54">
        <f t="shared" si="0"/>
        <v>0</v>
      </c>
      <c r="F54" t="s">
        <v>424</v>
      </c>
      <c r="G54">
        <v>3.33</v>
      </c>
      <c r="H54" s="3">
        <f t="shared" si="1"/>
        <v>771888.339</v>
      </c>
      <c r="I54" t="s">
        <v>383</v>
      </c>
      <c r="J54" t="s">
        <v>383</v>
      </c>
      <c r="K54" t="s">
        <v>383</v>
      </c>
    </row>
    <row r="55" spans="1:11">
      <c r="A55" t="s">
        <v>50</v>
      </c>
      <c r="B55" t="s">
        <v>52</v>
      </c>
      <c r="C55" t="s">
        <v>381</v>
      </c>
      <c r="D55">
        <v>2.85</v>
      </c>
      <c r="E55">
        <f t="shared" si="0"/>
        <v>0</v>
      </c>
      <c r="F55" t="s">
        <v>425</v>
      </c>
      <c r="G55">
        <v>3.33</v>
      </c>
      <c r="H55" s="3">
        <f t="shared" si="1"/>
        <v>2697.2667</v>
      </c>
      <c r="I55" t="s">
        <v>383</v>
      </c>
      <c r="J55" t="s">
        <v>383</v>
      </c>
      <c r="K55" t="s">
        <v>383</v>
      </c>
    </row>
    <row r="56" spans="1:11">
      <c r="A56" t="s">
        <v>50</v>
      </c>
      <c r="B56" t="s">
        <v>53</v>
      </c>
      <c r="C56" t="s">
        <v>381</v>
      </c>
      <c r="D56">
        <v>2.85</v>
      </c>
      <c r="E56">
        <f t="shared" si="0"/>
        <v>0</v>
      </c>
      <c r="F56" t="s">
        <v>426</v>
      </c>
      <c r="G56">
        <v>3.33</v>
      </c>
      <c r="H56" s="3">
        <f t="shared" si="1"/>
        <v>3623.0733</v>
      </c>
      <c r="I56" t="s">
        <v>383</v>
      </c>
      <c r="J56" t="s">
        <v>383</v>
      </c>
      <c r="K56" t="s">
        <v>383</v>
      </c>
    </row>
    <row r="57" spans="1:11">
      <c r="A57" t="s">
        <v>54</v>
      </c>
      <c r="B57" t="s">
        <v>55</v>
      </c>
      <c r="C57" t="s">
        <v>381</v>
      </c>
      <c r="D57">
        <v>2.85</v>
      </c>
      <c r="E57">
        <f t="shared" si="0"/>
        <v>0</v>
      </c>
      <c r="F57" t="s">
        <v>427</v>
      </c>
      <c r="G57">
        <v>3.33</v>
      </c>
      <c r="H57" s="3">
        <f t="shared" si="1"/>
        <v>706159.2672</v>
      </c>
      <c r="I57" t="s">
        <v>383</v>
      </c>
      <c r="J57" t="s">
        <v>383</v>
      </c>
      <c r="K57" t="s">
        <v>383</v>
      </c>
    </row>
    <row r="58" spans="1:11">
      <c r="A58" t="s">
        <v>54</v>
      </c>
      <c r="B58" t="s">
        <v>56</v>
      </c>
      <c r="C58" t="s">
        <v>428</v>
      </c>
      <c r="D58">
        <v>2.85</v>
      </c>
      <c r="E58">
        <f t="shared" si="0"/>
        <v>2251500</v>
      </c>
      <c r="F58" t="s">
        <v>381</v>
      </c>
      <c r="G58">
        <v>3.33</v>
      </c>
      <c r="H58" s="3">
        <f t="shared" si="1"/>
        <v>0</v>
      </c>
      <c r="I58" t="s">
        <v>383</v>
      </c>
      <c r="J58" t="s">
        <v>383</v>
      </c>
      <c r="K58" t="s">
        <v>383</v>
      </c>
    </row>
    <row r="59" spans="1:11">
      <c r="A59" t="s">
        <v>54</v>
      </c>
      <c r="B59" t="s">
        <v>57</v>
      </c>
      <c r="C59" t="s">
        <v>381</v>
      </c>
      <c r="D59">
        <v>2.85</v>
      </c>
      <c r="E59">
        <f t="shared" si="0"/>
        <v>0</v>
      </c>
      <c r="F59" t="s">
        <v>429</v>
      </c>
      <c r="G59">
        <v>3.33</v>
      </c>
      <c r="H59" s="3">
        <f t="shared" si="1"/>
        <v>11535.1533</v>
      </c>
      <c r="I59" t="s">
        <v>383</v>
      </c>
      <c r="J59" t="s">
        <v>383</v>
      </c>
      <c r="K59" t="s">
        <v>383</v>
      </c>
    </row>
    <row r="60" spans="1:11">
      <c r="A60" t="s">
        <v>58</v>
      </c>
      <c r="B60" t="s">
        <v>59</v>
      </c>
      <c r="C60" t="s">
        <v>381</v>
      </c>
      <c r="D60">
        <v>2.85</v>
      </c>
      <c r="E60">
        <f t="shared" si="0"/>
        <v>0</v>
      </c>
      <c r="F60" t="s">
        <v>430</v>
      </c>
      <c r="G60">
        <v>3.33</v>
      </c>
      <c r="H60" s="3">
        <f t="shared" si="1"/>
        <v>549078.0723</v>
      </c>
      <c r="I60" t="s">
        <v>383</v>
      </c>
      <c r="J60" t="s">
        <v>383</v>
      </c>
      <c r="K60" t="s">
        <v>383</v>
      </c>
    </row>
    <row r="61" spans="1:11">
      <c r="A61" t="s">
        <v>58</v>
      </c>
      <c r="B61" t="s">
        <v>60</v>
      </c>
      <c r="C61" t="s">
        <v>381</v>
      </c>
      <c r="D61">
        <v>2.85</v>
      </c>
      <c r="E61">
        <f t="shared" si="0"/>
        <v>0</v>
      </c>
      <c r="F61" t="s">
        <v>431</v>
      </c>
      <c r="G61">
        <v>3.33</v>
      </c>
      <c r="H61" s="3">
        <f t="shared" si="1"/>
        <v>797242.8591</v>
      </c>
      <c r="I61" t="s">
        <v>383</v>
      </c>
      <c r="J61" t="s">
        <v>383</v>
      </c>
      <c r="K61" t="s">
        <v>383</v>
      </c>
    </row>
    <row r="62" spans="1:11">
      <c r="A62" t="s">
        <v>58</v>
      </c>
      <c r="B62" t="s">
        <v>61</v>
      </c>
      <c r="C62" t="s">
        <v>381</v>
      </c>
      <c r="D62">
        <v>2.85</v>
      </c>
      <c r="E62">
        <f t="shared" si="0"/>
        <v>0</v>
      </c>
      <c r="F62" t="s">
        <v>399</v>
      </c>
      <c r="G62">
        <v>3.33</v>
      </c>
      <c r="H62" s="3">
        <f t="shared" si="1"/>
        <v>149.8167</v>
      </c>
      <c r="I62" t="s">
        <v>383</v>
      </c>
      <c r="J62" t="s">
        <v>383</v>
      </c>
      <c r="K62" t="s">
        <v>383</v>
      </c>
    </row>
    <row r="63" spans="1:11">
      <c r="A63" t="s">
        <v>58</v>
      </c>
      <c r="B63" t="s">
        <v>62</v>
      </c>
      <c r="C63" t="s">
        <v>381</v>
      </c>
      <c r="D63">
        <v>2.85</v>
      </c>
      <c r="E63">
        <f t="shared" si="0"/>
        <v>0</v>
      </c>
      <c r="F63" t="s">
        <v>432</v>
      </c>
      <c r="G63">
        <v>3.33</v>
      </c>
      <c r="H63" s="3">
        <f t="shared" si="1"/>
        <v>5674.2201</v>
      </c>
      <c r="I63" t="s">
        <v>383</v>
      </c>
      <c r="J63" t="s">
        <v>383</v>
      </c>
      <c r="K63" t="s">
        <v>383</v>
      </c>
    </row>
    <row r="64" spans="1:11">
      <c r="A64" t="s">
        <v>58</v>
      </c>
      <c r="B64" t="s">
        <v>63</v>
      </c>
      <c r="C64" t="s">
        <v>381</v>
      </c>
      <c r="D64">
        <v>2.85</v>
      </c>
      <c r="E64">
        <f t="shared" si="0"/>
        <v>0</v>
      </c>
      <c r="F64" t="s">
        <v>433</v>
      </c>
      <c r="G64">
        <v>3.33</v>
      </c>
      <c r="H64" s="3">
        <f t="shared" si="1"/>
        <v>209.7567</v>
      </c>
      <c r="I64" t="s">
        <v>383</v>
      </c>
      <c r="J64" t="s">
        <v>383</v>
      </c>
      <c r="K64" t="s">
        <v>383</v>
      </c>
    </row>
    <row r="65" spans="1:11">
      <c r="A65" t="s">
        <v>58</v>
      </c>
      <c r="B65" t="s">
        <v>64</v>
      </c>
      <c r="C65" t="s">
        <v>381</v>
      </c>
      <c r="D65">
        <v>2.85</v>
      </c>
      <c r="E65">
        <f t="shared" si="0"/>
        <v>0</v>
      </c>
      <c r="F65" t="s">
        <v>434</v>
      </c>
      <c r="G65">
        <v>3.33</v>
      </c>
      <c r="H65" s="3">
        <f t="shared" si="1"/>
        <v>13180.2066</v>
      </c>
      <c r="I65" t="s">
        <v>383</v>
      </c>
      <c r="J65" t="s">
        <v>383</v>
      </c>
      <c r="K65" t="s">
        <v>383</v>
      </c>
    </row>
    <row r="66" spans="1:11">
      <c r="A66" t="s">
        <v>65</v>
      </c>
      <c r="B66" t="s">
        <v>66</v>
      </c>
      <c r="C66" t="s">
        <v>381</v>
      </c>
      <c r="D66">
        <v>2.85</v>
      </c>
      <c r="E66">
        <f t="shared" ref="E66:E113" si="2">C66*D66</f>
        <v>0</v>
      </c>
      <c r="F66" t="s">
        <v>435</v>
      </c>
      <c r="G66">
        <v>3.33</v>
      </c>
      <c r="H66" s="3">
        <f t="shared" ref="H66:H113" si="3">F66*G66</f>
        <v>731579.7213</v>
      </c>
      <c r="I66" t="s">
        <v>383</v>
      </c>
      <c r="J66" t="s">
        <v>383</v>
      </c>
      <c r="K66" t="s">
        <v>383</v>
      </c>
    </row>
    <row r="67" spans="1:11">
      <c r="A67" t="s">
        <v>65</v>
      </c>
      <c r="B67" t="s">
        <v>67</v>
      </c>
      <c r="C67" t="s">
        <v>381</v>
      </c>
      <c r="D67">
        <v>2.85</v>
      </c>
      <c r="E67">
        <f t="shared" si="2"/>
        <v>0</v>
      </c>
      <c r="F67" t="s">
        <v>426</v>
      </c>
      <c r="G67">
        <v>3.33</v>
      </c>
      <c r="H67" s="3">
        <f t="shared" si="3"/>
        <v>3623.0733</v>
      </c>
      <c r="I67" t="s">
        <v>383</v>
      </c>
      <c r="J67" t="s">
        <v>383</v>
      </c>
      <c r="K67" t="s">
        <v>383</v>
      </c>
    </row>
    <row r="68" spans="1:11">
      <c r="A68" t="s">
        <v>68</v>
      </c>
      <c r="B68" t="s">
        <v>69</v>
      </c>
      <c r="C68" t="s">
        <v>381</v>
      </c>
      <c r="D68">
        <v>2.85</v>
      </c>
      <c r="E68">
        <f t="shared" si="2"/>
        <v>0</v>
      </c>
      <c r="F68" t="s">
        <v>436</v>
      </c>
      <c r="G68">
        <v>3.33</v>
      </c>
      <c r="H68" s="3">
        <f t="shared" si="3"/>
        <v>723802.7061</v>
      </c>
      <c r="I68" t="s">
        <v>383</v>
      </c>
      <c r="J68" t="s">
        <v>383</v>
      </c>
      <c r="K68" t="s">
        <v>383</v>
      </c>
    </row>
    <row r="69" spans="1:11">
      <c r="A69" t="s">
        <v>68</v>
      </c>
      <c r="B69" t="s">
        <v>70</v>
      </c>
      <c r="C69" t="s">
        <v>437</v>
      </c>
      <c r="D69">
        <v>2.85</v>
      </c>
      <c r="E69">
        <f t="shared" si="2"/>
        <v>36913.2</v>
      </c>
      <c r="F69" t="s">
        <v>381</v>
      </c>
      <c r="G69">
        <v>3.33</v>
      </c>
      <c r="H69" s="3">
        <f t="shared" si="3"/>
        <v>0</v>
      </c>
      <c r="I69" t="s">
        <v>383</v>
      </c>
      <c r="J69" t="s">
        <v>383</v>
      </c>
      <c r="K69" t="s">
        <v>383</v>
      </c>
    </row>
    <row r="70" spans="1:11">
      <c r="A70" t="s">
        <v>68</v>
      </c>
      <c r="B70" t="s">
        <v>71</v>
      </c>
      <c r="C70" t="s">
        <v>438</v>
      </c>
      <c r="D70">
        <v>2.85</v>
      </c>
      <c r="E70">
        <f t="shared" si="2"/>
        <v>16031.25</v>
      </c>
      <c r="F70" t="s">
        <v>381</v>
      </c>
      <c r="G70">
        <v>3.33</v>
      </c>
      <c r="H70" s="3">
        <f t="shared" si="3"/>
        <v>0</v>
      </c>
      <c r="I70" t="s">
        <v>383</v>
      </c>
      <c r="J70" t="s">
        <v>383</v>
      </c>
      <c r="K70" t="s">
        <v>383</v>
      </c>
    </row>
    <row r="71" spans="1:11">
      <c r="A71" t="s">
        <v>68</v>
      </c>
      <c r="B71" t="s">
        <v>72</v>
      </c>
      <c r="C71" t="s">
        <v>419</v>
      </c>
      <c r="D71">
        <v>2.85</v>
      </c>
      <c r="E71">
        <f t="shared" si="2"/>
        <v>171000</v>
      </c>
      <c r="F71" t="s">
        <v>381</v>
      </c>
      <c r="G71">
        <v>3.33</v>
      </c>
      <c r="H71" s="3">
        <f t="shared" si="3"/>
        <v>0</v>
      </c>
      <c r="I71" t="s">
        <v>383</v>
      </c>
      <c r="J71" t="s">
        <v>383</v>
      </c>
      <c r="K71" t="s">
        <v>383</v>
      </c>
    </row>
    <row r="72" spans="1:11">
      <c r="A72" t="s">
        <v>68</v>
      </c>
      <c r="B72" t="s">
        <v>73</v>
      </c>
      <c r="C72" t="s">
        <v>381</v>
      </c>
      <c r="D72">
        <v>2.85</v>
      </c>
      <c r="E72">
        <f t="shared" si="2"/>
        <v>0</v>
      </c>
      <c r="F72" t="s">
        <v>439</v>
      </c>
      <c r="G72">
        <v>3.33</v>
      </c>
      <c r="H72" s="3">
        <f t="shared" si="3"/>
        <v>299.6667</v>
      </c>
      <c r="I72" t="s">
        <v>383</v>
      </c>
      <c r="J72" t="s">
        <v>383</v>
      </c>
      <c r="K72" t="s">
        <v>383</v>
      </c>
    </row>
    <row r="73" spans="1:11">
      <c r="A73" t="s">
        <v>68</v>
      </c>
      <c r="B73" t="s">
        <v>74</v>
      </c>
      <c r="C73" t="s">
        <v>381</v>
      </c>
      <c r="D73">
        <v>2.85</v>
      </c>
      <c r="E73">
        <f t="shared" si="2"/>
        <v>0</v>
      </c>
      <c r="F73" t="s">
        <v>440</v>
      </c>
      <c r="G73">
        <v>3.33</v>
      </c>
      <c r="H73" s="3">
        <f t="shared" si="3"/>
        <v>2951.9118</v>
      </c>
      <c r="I73" t="s">
        <v>383</v>
      </c>
      <c r="J73" t="s">
        <v>383</v>
      </c>
      <c r="K73" t="s">
        <v>383</v>
      </c>
    </row>
    <row r="74" spans="1:11">
      <c r="A74" t="s">
        <v>75</v>
      </c>
      <c r="B74" t="s">
        <v>76</v>
      </c>
      <c r="C74" t="s">
        <v>381</v>
      </c>
      <c r="D74">
        <v>2.85</v>
      </c>
      <c r="E74">
        <f t="shared" si="2"/>
        <v>0</v>
      </c>
      <c r="F74" t="s">
        <v>441</v>
      </c>
      <c r="G74">
        <v>3.33</v>
      </c>
      <c r="H74" s="3">
        <f t="shared" si="3"/>
        <v>787698.1467</v>
      </c>
      <c r="I74" t="s">
        <v>383</v>
      </c>
      <c r="J74" t="s">
        <v>383</v>
      </c>
      <c r="K74" t="s">
        <v>383</v>
      </c>
    </row>
    <row r="75" spans="1:11">
      <c r="A75" t="s">
        <v>75</v>
      </c>
      <c r="B75" t="s">
        <v>77</v>
      </c>
      <c r="C75" t="s">
        <v>381</v>
      </c>
      <c r="D75">
        <v>2.85</v>
      </c>
      <c r="E75">
        <f t="shared" si="2"/>
        <v>0</v>
      </c>
      <c r="F75" t="s">
        <v>399</v>
      </c>
      <c r="G75">
        <v>3.33</v>
      </c>
      <c r="H75" s="3">
        <f t="shared" si="3"/>
        <v>149.8167</v>
      </c>
      <c r="I75" t="s">
        <v>383</v>
      </c>
      <c r="J75" t="s">
        <v>383</v>
      </c>
      <c r="K75" t="s">
        <v>383</v>
      </c>
    </row>
    <row r="76" spans="1:11">
      <c r="A76" t="s">
        <v>78</v>
      </c>
      <c r="B76" t="s">
        <v>79</v>
      </c>
      <c r="C76" t="s">
        <v>381</v>
      </c>
      <c r="D76">
        <v>2.85</v>
      </c>
      <c r="E76">
        <f t="shared" si="2"/>
        <v>0</v>
      </c>
      <c r="F76" t="s">
        <v>442</v>
      </c>
      <c r="G76">
        <v>3.33</v>
      </c>
      <c r="H76" s="3">
        <f t="shared" si="3"/>
        <v>647537.6142</v>
      </c>
      <c r="I76" t="s">
        <v>383</v>
      </c>
      <c r="J76" t="s">
        <v>383</v>
      </c>
      <c r="K76" t="s">
        <v>383</v>
      </c>
    </row>
    <row r="77" spans="1:11">
      <c r="A77" t="s">
        <v>78</v>
      </c>
      <c r="B77" t="s">
        <v>80</v>
      </c>
      <c r="C77" t="s">
        <v>381</v>
      </c>
      <c r="D77">
        <v>2.85</v>
      </c>
      <c r="E77">
        <f t="shared" si="2"/>
        <v>0</v>
      </c>
      <c r="F77" t="s">
        <v>443</v>
      </c>
      <c r="G77">
        <v>3.33</v>
      </c>
      <c r="H77" s="3">
        <f t="shared" si="3"/>
        <v>557245.3635</v>
      </c>
      <c r="I77" t="s">
        <v>383</v>
      </c>
      <c r="J77" t="s">
        <v>383</v>
      </c>
      <c r="K77" t="s">
        <v>383</v>
      </c>
    </row>
    <row r="78" spans="1:11">
      <c r="A78" t="s">
        <v>78</v>
      </c>
      <c r="B78" t="s">
        <v>81</v>
      </c>
      <c r="C78" t="s">
        <v>381</v>
      </c>
      <c r="D78">
        <v>2.85</v>
      </c>
      <c r="E78">
        <f t="shared" si="2"/>
        <v>0</v>
      </c>
      <c r="F78" t="s">
        <v>433</v>
      </c>
      <c r="G78">
        <v>3.33</v>
      </c>
      <c r="H78" s="3">
        <f t="shared" si="3"/>
        <v>209.7567</v>
      </c>
      <c r="I78" t="s">
        <v>383</v>
      </c>
      <c r="J78" t="s">
        <v>383</v>
      </c>
      <c r="K78" t="s">
        <v>383</v>
      </c>
    </row>
    <row r="79" spans="1:11">
      <c r="A79" t="s">
        <v>78</v>
      </c>
      <c r="B79" t="s">
        <v>82</v>
      </c>
      <c r="C79" t="s">
        <v>381</v>
      </c>
      <c r="D79">
        <v>2.85</v>
      </c>
      <c r="E79">
        <f t="shared" si="2"/>
        <v>0</v>
      </c>
      <c r="F79" t="s">
        <v>444</v>
      </c>
      <c r="G79">
        <v>3.33</v>
      </c>
      <c r="H79" s="3">
        <f t="shared" si="3"/>
        <v>15376.5414</v>
      </c>
      <c r="I79" t="s">
        <v>383</v>
      </c>
      <c r="J79" t="s">
        <v>383</v>
      </c>
      <c r="K79" t="s">
        <v>383</v>
      </c>
    </row>
    <row r="80" spans="1:11">
      <c r="A80" t="s">
        <v>78</v>
      </c>
      <c r="B80" t="s">
        <v>83</v>
      </c>
      <c r="C80" t="s">
        <v>381</v>
      </c>
      <c r="D80">
        <v>2.85</v>
      </c>
      <c r="E80">
        <f t="shared" si="2"/>
        <v>0</v>
      </c>
      <c r="F80" t="s">
        <v>445</v>
      </c>
      <c r="G80">
        <v>3.33</v>
      </c>
      <c r="H80" s="3">
        <f t="shared" si="3"/>
        <v>7246.1466</v>
      </c>
      <c r="I80" t="s">
        <v>383</v>
      </c>
      <c r="J80" t="s">
        <v>383</v>
      </c>
      <c r="K80" t="s">
        <v>383</v>
      </c>
    </row>
    <row r="81" spans="1:11">
      <c r="A81" t="s">
        <v>84</v>
      </c>
      <c r="B81" t="s">
        <v>85</v>
      </c>
      <c r="C81" t="s">
        <v>381</v>
      </c>
      <c r="D81">
        <v>2.85</v>
      </c>
      <c r="E81">
        <f t="shared" si="2"/>
        <v>0</v>
      </c>
      <c r="F81" t="s">
        <v>446</v>
      </c>
      <c r="G81">
        <v>3.33</v>
      </c>
      <c r="H81" s="3">
        <f t="shared" si="3"/>
        <v>1067980.8168</v>
      </c>
      <c r="I81" t="s">
        <v>383</v>
      </c>
      <c r="J81" t="s">
        <v>383</v>
      </c>
      <c r="K81" t="s">
        <v>383</v>
      </c>
    </row>
    <row r="82" spans="1:11">
      <c r="A82" t="s">
        <v>84</v>
      </c>
      <c r="B82" t="s">
        <v>86</v>
      </c>
      <c r="C82" t="s">
        <v>447</v>
      </c>
      <c r="D82">
        <v>2.85</v>
      </c>
      <c r="E82">
        <f t="shared" si="2"/>
        <v>128250</v>
      </c>
      <c r="F82" t="s">
        <v>381</v>
      </c>
      <c r="G82">
        <v>3.33</v>
      </c>
      <c r="H82" s="3">
        <f t="shared" si="3"/>
        <v>0</v>
      </c>
      <c r="I82" t="s">
        <v>383</v>
      </c>
      <c r="J82" t="s">
        <v>383</v>
      </c>
      <c r="K82" t="s">
        <v>383</v>
      </c>
    </row>
    <row r="83" spans="1:11">
      <c r="A83" t="s">
        <v>84</v>
      </c>
      <c r="B83" t="s">
        <v>87</v>
      </c>
      <c r="C83" t="s">
        <v>381</v>
      </c>
      <c r="D83">
        <v>2.85</v>
      </c>
      <c r="E83">
        <f t="shared" si="2"/>
        <v>0</v>
      </c>
      <c r="F83" t="s">
        <v>448</v>
      </c>
      <c r="G83">
        <v>3.33</v>
      </c>
      <c r="H83" s="3">
        <f t="shared" si="3"/>
        <v>5268.1266</v>
      </c>
      <c r="I83" t="s">
        <v>383</v>
      </c>
      <c r="J83" t="s">
        <v>383</v>
      </c>
      <c r="K83" t="s">
        <v>383</v>
      </c>
    </row>
    <row r="84" spans="1:11">
      <c r="A84" t="s">
        <v>88</v>
      </c>
      <c r="B84" t="s">
        <v>89</v>
      </c>
      <c r="C84" t="s">
        <v>381</v>
      </c>
      <c r="D84">
        <v>2.85</v>
      </c>
      <c r="E84">
        <f t="shared" si="2"/>
        <v>0</v>
      </c>
      <c r="F84" t="s">
        <v>449</v>
      </c>
      <c r="G84">
        <v>3.33</v>
      </c>
      <c r="H84" s="3">
        <f t="shared" si="3"/>
        <v>743125.8303</v>
      </c>
      <c r="I84" t="s">
        <v>383</v>
      </c>
      <c r="J84" t="s">
        <v>383</v>
      </c>
      <c r="K84" t="s">
        <v>383</v>
      </c>
    </row>
    <row r="85" spans="1:11">
      <c r="A85" t="s">
        <v>88</v>
      </c>
      <c r="B85" t="s">
        <v>90</v>
      </c>
      <c r="C85" t="s">
        <v>381</v>
      </c>
      <c r="D85">
        <v>2.85</v>
      </c>
      <c r="E85">
        <f t="shared" si="2"/>
        <v>0</v>
      </c>
      <c r="F85" t="s">
        <v>399</v>
      </c>
      <c r="G85">
        <v>3.33</v>
      </c>
      <c r="H85" s="3">
        <f t="shared" si="3"/>
        <v>149.8167</v>
      </c>
      <c r="I85" t="s">
        <v>383</v>
      </c>
      <c r="J85" t="s">
        <v>383</v>
      </c>
      <c r="K85" t="s">
        <v>383</v>
      </c>
    </row>
    <row r="86" spans="1:11">
      <c r="A86" t="s">
        <v>88</v>
      </c>
      <c r="B86" t="s">
        <v>91</v>
      </c>
      <c r="C86" t="s">
        <v>381</v>
      </c>
      <c r="D86">
        <v>2.85</v>
      </c>
      <c r="E86">
        <f t="shared" si="2"/>
        <v>0</v>
      </c>
      <c r="F86" t="s">
        <v>450</v>
      </c>
      <c r="G86">
        <v>3.33</v>
      </c>
      <c r="H86" s="3">
        <f t="shared" si="3"/>
        <v>61298.8398</v>
      </c>
      <c r="I86" t="s">
        <v>383</v>
      </c>
      <c r="J86" t="s">
        <v>383</v>
      </c>
      <c r="K86" t="s">
        <v>383</v>
      </c>
    </row>
    <row r="87" spans="1:11">
      <c r="A87" t="s">
        <v>92</v>
      </c>
      <c r="B87" t="s">
        <v>93</v>
      </c>
      <c r="C87" t="s">
        <v>381</v>
      </c>
      <c r="D87">
        <v>2.85</v>
      </c>
      <c r="E87">
        <f t="shared" si="2"/>
        <v>0</v>
      </c>
      <c r="F87" t="s">
        <v>451</v>
      </c>
      <c r="G87">
        <v>3.33</v>
      </c>
      <c r="H87" s="3">
        <f t="shared" si="3"/>
        <v>870751.7433</v>
      </c>
      <c r="I87" t="s">
        <v>383</v>
      </c>
      <c r="J87" t="s">
        <v>383</v>
      </c>
      <c r="K87" t="s">
        <v>383</v>
      </c>
    </row>
    <row r="88" spans="1:11">
      <c r="A88" t="s">
        <v>92</v>
      </c>
      <c r="B88" t="s">
        <v>94</v>
      </c>
      <c r="C88" t="s">
        <v>381</v>
      </c>
      <c r="D88">
        <v>2.85</v>
      </c>
      <c r="E88">
        <f t="shared" si="2"/>
        <v>0</v>
      </c>
      <c r="F88" t="s">
        <v>452</v>
      </c>
      <c r="G88">
        <v>3.33</v>
      </c>
      <c r="H88" s="3">
        <f t="shared" si="3"/>
        <v>18454.9266</v>
      </c>
      <c r="I88" t="s">
        <v>383</v>
      </c>
      <c r="J88" t="s">
        <v>383</v>
      </c>
      <c r="K88" t="s">
        <v>383</v>
      </c>
    </row>
    <row r="89" spans="1:11">
      <c r="A89" t="s">
        <v>92</v>
      </c>
      <c r="B89" t="s">
        <v>95</v>
      </c>
      <c r="C89" t="s">
        <v>453</v>
      </c>
      <c r="D89">
        <v>2.85</v>
      </c>
      <c r="E89">
        <f t="shared" si="2"/>
        <v>114000</v>
      </c>
      <c r="F89" t="s">
        <v>381</v>
      </c>
      <c r="G89">
        <v>3.33</v>
      </c>
      <c r="H89" s="3">
        <f t="shared" si="3"/>
        <v>0</v>
      </c>
      <c r="I89" t="s">
        <v>383</v>
      </c>
      <c r="J89" t="s">
        <v>383</v>
      </c>
      <c r="K89" t="s">
        <v>383</v>
      </c>
    </row>
    <row r="90" spans="1:11">
      <c r="A90" t="s">
        <v>92</v>
      </c>
      <c r="B90" t="s">
        <v>96</v>
      </c>
      <c r="C90" t="s">
        <v>454</v>
      </c>
      <c r="D90">
        <v>2.85</v>
      </c>
      <c r="E90">
        <f t="shared" si="2"/>
        <v>84075</v>
      </c>
      <c r="F90" t="s">
        <v>381</v>
      </c>
      <c r="G90">
        <v>3.33</v>
      </c>
      <c r="H90" s="3">
        <f t="shared" si="3"/>
        <v>0</v>
      </c>
      <c r="I90" t="s">
        <v>383</v>
      </c>
      <c r="J90" t="s">
        <v>383</v>
      </c>
      <c r="K90" t="s">
        <v>383</v>
      </c>
    </row>
    <row r="91" spans="1:11">
      <c r="A91" t="s">
        <v>92</v>
      </c>
      <c r="B91" t="s">
        <v>97</v>
      </c>
      <c r="C91" t="s">
        <v>455</v>
      </c>
      <c r="D91">
        <v>2.85</v>
      </c>
      <c r="E91">
        <f t="shared" si="2"/>
        <v>155325</v>
      </c>
      <c r="F91" t="s">
        <v>381</v>
      </c>
      <c r="G91">
        <v>3.33</v>
      </c>
      <c r="H91" s="3">
        <f t="shared" si="3"/>
        <v>0</v>
      </c>
      <c r="I91" t="s">
        <v>383</v>
      </c>
      <c r="J91" t="s">
        <v>383</v>
      </c>
      <c r="K91" t="s">
        <v>383</v>
      </c>
    </row>
    <row r="92" spans="1:11">
      <c r="A92" t="s">
        <v>98</v>
      </c>
      <c r="B92" t="s">
        <v>99</v>
      </c>
      <c r="C92" t="s">
        <v>381</v>
      </c>
      <c r="D92">
        <v>2.85</v>
      </c>
      <c r="E92">
        <f t="shared" si="2"/>
        <v>0</v>
      </c>
      <c r="F92" t="s">
        <v>456</v>
      </c>
      <c r="G92">
        <v>3.33</v>
      </c>
      <c r="H92" s="3">
        <f t="shared" si="3"/>
        <v>772659.4005</v>
      </c>
      <c r="I92" t="s">
        <v>383</v>
      </c>
      <c r="J92" t="s">
        <v>383</v>
      </c>
      <c r="K92" t="s">
        <v>383</v>
      </c>
    </row>
    <row r="93" spans="1:11">
      <c r="A93" t="s">
        <v>98</v>
      </c>
      <c r="B93" t="s">
        <v>100</v>
      </c>
      <c r="C93" t="s">
        <v>381</v>
      </c>
      <c r="D93">
        <v>2.85</v>
      </c>
      <c r="E93">
        <f t="shared" si="2"/>
        <v>0</v>
      </c>
      <c r="F93" t="s">
        <v>434</v>
      </c>
      <c r="G93">
        <v>3.33</v>
      </c>
      <c r="H93" s="3">
        <f t="shared" si="3"/>
        <v>13180.2066</v>
      </c>
      <c r="I93" t="s">
        <v>383</v>
      </c>
      <c r="J93" t="s">
        <v>383</v>
      </c>
      <c r="K93" t="s">
        <v>383</v>
      </c>
    </row>
    <row r="94" spans="1:11">
      <c r="A94" t="s">
        <v>101</v>
      </c>
      <c r="B94" t="s">
        <v>102</v>
      </c>
      <c r="C94" t="s">
        <v>457</v>
      </c>
      <c r="D94">
        <v>2.85</v>
      </c>
      <c r="E94">
        <f t="shared" si="2"/>
        <v>1368000</v>
      </c>
      <c r="F94" t="s">
        <v>381</v>
      </c>
      <c r="G94">
        <v>3.33</v>
      </c>
      <c r="H94" s="3">
        <f t="shared" si="3"/>
        <v>0</v>
      </c>
      <c r="I94" t="s">
        <v>383</v>
      </c>
      <c r="J94" t="s">
        <v>383</v>
      </c>
      <c r="K94" t="s">
        <v>383</v>
      </c>
    </row>
    <row r="95" spans="1:11">
      <c r="A95" t="s">
        <v>103</v>
      </c>
      <c r="B95" t="s">
        <v>104</v>
      </c>
      <c r="C95" t="s">
        <v>381</v>
      </c>
      <c r="D95">
        <v>2.85</v>
      </c>
      <c r="E95">
        <f t="shared" si="2"/>
        <v>0</v>
      </c>
      <c r="F95" t="s">
        <v>458</v>
      </c>
      <c r="G95">
        <v>3.33</v>
      </c>
      <c r="H95" s="3">
        <f t="shared" si="3"/>
        <v>597826.8081</v>
      </c>
      <c r="I95" t="s">
        <v>383</v>
      </c>
      <c r="J95" t="s">
        <v>383</v>
      </c>
      <c r="K95" t="s">
        <v>383</v>
      </c>
    </row>
    <row r="96" spans="1:11">
      <c r="A96" t="s">
        <v>103</v>
      </c>
      <c r="B96" t="s">
        <v>105</v>
      </c>
      <c r="C96" t="s">
        <v>381</v>
      </c>
      <c r="D96">
        <v>2.85</v>
      </c>
      <c r="E96">
        <f t="shared" si="2"/>
        <v>0</v>
      </c>
      <c r="F96" t="s">
        <v>459</v>
      </c>
      <c r="G96">
        <v>3.33</v>
      </c>
      <c r="H96" s="3">
        <f t="shared" si="3"/>
        <v>551833.7805</v>
      </c>
      <c r="I96" t="s">
        <v>383</v>
      </c>
      <c r="J96" t="s">
        <v>383</v>
      </c>
      <c r="K96" t="s">
        <v>383</v>
      </c>
    </row>
    <row r="97" spans="1:11">
      <c r="A97" t="s">
        <v>103</v>
      </c>
      <c r="B97" t="s">
        <v>106</v>
      </c>
      <c r="C97" t="s">
        <v>381</v>
      </c>
      <c r="D97">
        <v>2.85</v>
      </c>
      <c r="E97">
        <f t="shared" si="2"/>
        <v>0</v>
      </c>
      <c r="F97" t="s">
        <v>399</v>
      </c>
      <c r="G97">
        <v>3.33</v>
      </c>
      <c r="H97" s="3">
        <f t="shared" si="3"/>
        <v>149.8167</v>
      </c>
      <c r="I97" t="s">
        <v>383</v>
      </c>
      <c r="J97" t="s">
        <v>383</v>
      </c>
      <c r="K97" t="s">
        <v>383</v>
      </c>
    </row>
    <row r="98" spans="1:11">
      <c r="A98" t="s">
        <v>103</v>
      </c>
      <c r="B98" t="s">
        <v>107</v>
      </c>
      <c r="C98" t="s">
        <v>381</v>
      </c>
      <c r="D98">
        <v>2.85</v>
      </c>
      <c r="E98">
        <f t="shared" si="2"/>
        <v>0</v>
      </c>
      <c r="F98" t="s">
        <v>460</v>
      </c>
      <c r="G98">
        <v>3.33</v>
      </c>
      <c r="H98" s="3">
        <f t="shared" si="3"/>
        <v>33836.9625</v>
      </c>
      <c r="I98" t="s">
        <v>383</v>
      </c>
      <c r="J98" t="s">
        <v>383</v>
      </c>
      <c r="K98" t="s">
        <v>383</v>
      </c>
    </row>
    <row r="99" spans="1:11">
      <c r="A99" t="s">
        <v>103</v>
      </c>
      <c r="B99" t="s">
        <v>108</v>
      </c>
      <c r="C99" t="s">
        <v>381</v>
      </c>
      <c r="D99">
        <v>2.85</v>
      </c>
      <c r="E99">
        <f t="shared" si="2"/>
        <v>0</v>
      </c>
      <c r="F99" t="s">
        <v>461</v>
      </c>
      <c r="G99">
        <v>3.33</v>
      </c>
      <c r="H99" s="3">
        <f t="shared" si="3"/>
        <v>51408.7398</v>
      </c>
      <c r="I99" t="s">
        <v>383</v>
      </c>
      <c r="J99" t="s">
        <v>383</v>
      </c>
      <c r="K99" t="s">
        <v>383</v>
      </c>
    </row>
    <row r="100" spans="1:11">
      <c r="A100" t="s">
        <v>103</v>
      </c>
      <c r="B100" t="s">
        <v>109</v>
      </c>
      <c r="C100" t="s">
        <v>381</v>
      </c>
      <c r="D100">
        <v>2.85</v>
      </c>
      <c r="E100">
        <f t="shared" si="2"/>
        <v>0</v>
      </c>
      <c r="F100" t="s">
        <v>462</v>
      </c>
      <c r="G100">
        <v>3.33</v>
      </c>
      <c r="H100" s="3">
        <f t="shared" si="3"/>
        <v>14.9184</v>
      </c>
      <c r="I100" t="s">
        <v>383</v>
      </c>
      <c r="J100" t="s">
        <v>383</v>
      </c>
      <c r="K100" t="s">
        <v>383</v>
      </c>
    </row>
    <row r="101" spans="1:11">
      <c r="A101" t="s">
        <v>110</v>
      </c>
      <c r="B101" t="s">
        <v>111</v>
      </c>
      <c r="C101" t="s">
        <v>463</v>
      </c>
      <c r="D101">
        <v>2.85</v>
      </c>
      <c r="E101">
        <f t="shared" si="2"/>
        <v>1482000</v>
      </c>
      <c r="F101" t="s">
        <v>381</v>
      </c>
      <c r="G101">
        <v>3.33</v>
      </c>
      <c r="H101" s="3">
        <f t="shared" si="3"/>
        <v>0</v>
      </c>
      <c r="I101" t="s">
        <v>383</v>
      </c>
      <c r="J101" t="s">
        <v>383</v>
      </c>
      <c r="K101" t="s">
        <v>383</v>
      </c>
    </row>
    <row r="102" spans="1:11">
      <c r="A102" t="s">
        <v>110</v>
      </c>
      <c r="B102" t="s">
        <v>112</v>
      </c>
      <c r="C102" t="s">
        <v>464</v>
      </c>
      <c r="D102">
        <v>2.85</v>
      </c>
      <c r="E102">
        <f t="shared" si="2"/>
        <v>142500</v>
      </c>
      <c r="F102" t="s">
        <v>381</v>
      </c>
      <c r="G102">
        <v>3.33</v>
      </c>
      <c r="H102" s="3">
        <f t="shared" si="3"/>
        <v>0</v>
      </c>
      <c r="I102" t="s">
        <v>383</v>
      </c>
      <c r="J102" t="s">
        <v>383</v>
      </c>
      <c r="K102" t="s">
        <v>383</v>
      </c>
    </row>
    <row r="103" spans="1:11">
      <c r="A103" t="s">
        <v>110</v>
      </c>
      <c r="B103" t="s">
        <v>113</v>
      </c>
      <c r="C103" t="s">
        <v>453</v>
      </c>
      <c r="D103">
        <v>2.85</v>
      </c>
      <c r="E103">
        <f t="shared" si="2"/>
        <v>114000</v>
      </c>
      <c r="F103" t="s">
        <v>381</v>
      </c>
      <c r="G103">
        <v>3.33</v>
      </c>
      <c r="H103" s="3">
        <f t="shared" si="3"/>
        <v>0</v>
      </c>
      <c r="I103" t="s">
        <v>383</v>
      </c>
      <c r="J103" t="s">
        <v>383</v>
      </c>
      <c r="K103" t="s">
        <v>383</v>
      </c>
    </row>
    <row r="104" spans="1:11">
      <c r="A104" t="s">
        <v>110</v>
      </c>
      <c r="B104" t="s">
        <v>114</v>
      </c>
      <c r="C104" t="s">
        <v>381</v>
      </c>
      <c r="D104">
        <v>2.85</v>
      </c>
      <c r="E104">
        <f t="shared" si="2"/>
        <v>0</v>
      </c>
      <c r="F104" t="s">
        <v>465</v>
      </c>
      <c r="G104">
        <v>3.33</v>
      </c>
      <c r="H104" s="3">
        <f t="shared" si="3"/>
        <v>376081.8417</v>
      </c>
      <c r="I104" t="s">
        <v>383</v>
      </c>
      <c r="J104" t="s">
        <v>383</v>
      </c>
      <c r="K104" t="s">
        <v>383</v>
      </c>
    </row>
    <row r="105" spans="1:11">
      <c r="A105" t="s">
        <v>110</v>
      </c>
      <c r="B105" t="s">
        <v>115</v>
      </c>
      <c r="C105" t="s">
        <v>381</v>
      </c>
      <c r="D105">
        <v>2.85</v>
      </c>
      <c r="E105">
        <f t="shared" si="2"/>
        <v>0</v>
      </c>
      <c r="F105" t="s">
        <v>466</v>
      </c>
      <c r="G105">
        <v>3.33</v>
      </c>
      <c r="H105" s="3">
        <f t="shared" si="3"/>
        <v>12187.8999</v>
      </c>
      <c r="I105" t="s">
        <v>383</v>
      </c>
      <c r="J105" t="s">
        <v>383</v>
      </c>
      <c r="K105" t="s">
        <v>383</v>
      </c>
    </row>
    <row r="106" spans="1:11">
      <c r="A106" t="s">
        <v>116</v>
      </c>
      <c r="B106" t="s">
        <v>117</v>
      </c>
      <c r="C106" t="s">
        <v>381</v>
      </c>
      <c r="D106">
        <v>2.85</v>
      </c>
      <c r="E106">
        <f t="shared" si="2"/>
        <v>0</v>
      </c>
      <c r="F106" t="s">
        <v>467</v>
      </c>
      <c r="G106">
        <v>3.33</v>
      </c>
      <c r="H106" s="3">
        <f t="shared" si="3"/>
        <v>765885.3147</v>
      </c>
      <c r="I106" t="s">
        <v>383</v>
      </c>
      <c r="J106" t="s">
        <v>383</v>
      </c>
      <c r="K106" t="s">
        <v>383</v>
      </c>
    </row>
    <row r="107" spans="1:11">
      <c r="A107" t="s">
        <v>116</v>
      </c>
      <c r="B107" t="s">
        <v>118</v>
      </c>
      <c r="C107" t="s">
        <v>468</v>
      </c>
      <c r="D107">
        <v>2.85</v>
      </c>
      <c r="E107">
        <f t="shared" si="2"/>
        <v>203356.05</v>
      </c>
      <c r="F107" t="s">
        <v>381</v>
      </c>
      <c r="G107">
        <v>3.33</v>
      </c>
      <c r="H107" s="3">
        <f t="shared" si="3"/>
        <v>0</v>
      </c>
      <c r="I107" t="s">
        <v>383</v>
      </c>
      <c r="J107" t="s">
        <v>383</v>
      </c>
      <c r="K107" t="s">
        <v>383</v>
      </c>
    </row>
    <row r="108" spans="1:11">
      <c r="A108" t="s">
        <v>116</v>
      </c>
      <c r="B108" t="s">
        <v>119</v>
      </c>
      <c r="C108" t="s">
        <v>381</v>
      </c>
      <c r="D108">
        <v>2.85</v>
      </c>
      <c r="E108">
        <f t="shared" si="2"/>
        <v>0</v>
      </c>
      <c r="F108" t="s">
        <v>399</v>
      </c>
      <c r="G108">
        <v>3.33</v>
      </c>
      <c r="H108" s="3">
        <f t="shared" si="3"/>
        <v>149.8167</v>
      </c>
      <c r="I108" t="s">
        <v>383</v>
      </c>
      <c r="J108" t="s">
        <v>383</v>
      </c>
      <c r="K108" t="s">
        <v>383</v>
      </c>
    </row>
    <row r="109" spans="1:11">
      <c r="A109" t="s">
        <v>116</v>
      </c>
      <c r="B109" t="s">
        <v>120</v>
      </c>
      <c r="C109" t="s">
        <v>381</v>
      </c>
      <c r="D109">
        <v>2.85</v>
      </c>
      <c r="E109">
        <f t="shared" si="2"/>
        <v>0</v>
      </c>
      <c r="F109" t="s">
        <v>469</v>
      </c>
      <c r="G109">
        <v>3.33</v>
      </c>
      <c r="H109" s="3">
        <f t="shared" si="3"/>
        <v>25374.6999</v>
      </c>
      <c r="I109" t="s">
        <v>383</v>
      </c>
      <c r="J109" t="s">
        <v>383</v>
      </c>
      <c r="K109" t="s">
        <v>383</v>
      </c>
    </row>
    <row r="110" spans="1:11">
      <c r="A110" t="s">
        <v>121</v>
      </c>
      <c r="B110" t="s">
        <v>122</v>
      </c>
      <c r="C110" t="s">
        <v>381</v>
      </c>
      <c r="D110">
        <v>2.85</v>
      </c>
      <c r="E110">
        <f t="shared" si="2"/>
        <v>0</v>
      </c>
      <c r="F110" t="s">
        <v>470</v>
      </c>
      <c r="G110">
        <v>3.33</v>
      </c>
      <c r="H110" s="3">
        <f t="shared" si="3"/>
        <v>716054.7951</v>
      </c>
      <c r="I110" t="s">
        <v>383</v>
      </c>
      <c r="J110" t="s">
        <v>383</v>
      </c>
      <c r="K110" t="s">
        <v>383</v>
      </c>
    </row>
    <row r="111" spans="1:11">
      <c r="A111" t="s">
        <v>123</v>
      </c>
      <c r="B111" t="s">
        <v>124</v>
      </c>
      <c r="C111" t="s">
        <v>381</v>
      </c>
      <c r="D111">
        <v>2.85</v>
      </c>
      <c r="E111">
        <f t="shared" si="2"/>
        <v>0</v>
      </c>
      <c r="F111" t="s">
        <v>471</v>
      </c>
      <c r="G111">
        <v>3.33</v>
      </c>
      <c r="H111" s="3">
        <f t="shared" si="3"/>
        <v>879899.7528</v>
      </c>
      <c r="I111" t="s">
        <v>383</v>
      </c>
      <c r="J111" t="s">
        <v>383</v>
      </c>
      <c r="K111" t="s">
        <v>383</v>
      </c>
    </row>
    <row r="112" spans="1:11">
      <c r="A112" t="s">
        <v>123</v>
      </c>
      <c r="B112" t="s">
        <v>125</v>
      </c>
      <c r="C112" t="s">
        <v>381</v>
      </c>
      <c r="D112">
        <v>2.85</v>
      </c>
      <c r="E112">
        <f t="shared" si="2"/>
        <v>0</v>
      </c>
      <c r="F112" t="s">
        <v>426</v>
      </c>
      <c r="G112">
        <v>3.33</v>
      </c>
      <c r="H112" s="3">
        <f t="shared" si="3"/>
        <v>3623.0733</v>
      </c>
      <c r="I112" t="s">
        <v>383</v>
      </c>
      <c r="J112" t="s">
        <v>383</v>
      </c>
      <c r="K112" t="s">
        <v>383</v>
      </c>
    </row>
    <row r="113" spans="1:11">
      <c r="A113" t="s">
        <v>123</v>
      </c>
      <c r="B113" t="s">
        <v>126</v>
      </c>
      <c r="C113" t="s">
        <v>381</v>
      </c>
      <c r="D113">
        <v>2.85</v>
      </c>
      <c r="E113">
        <f t="shared" si="2"/>
        <v>0</v>
      </c>
      <c r="F113" t="s">
        <v>408</v>
      </c>
      <c r="G113">
        <v>3.33</v>
      </c>
      <c r="H113" s="3">
        <f t="shared" si="3"/>
        <v>1645.0533</v>
      </c>
      <c r="I113" t="s">
        <v>383</v>
      </c>
      <c r="J113" t="s">
        <v>383</v>
      </c>
      <c r="K113" t="s">
        <v>383</v>
      </c>
    </row>
    <row r="114" spans="3:8">
      <c r="C114" s="4">
        <f t="shared" ref="C114:H114" si="4">SUM(C2:C113)</f>
        <v>0</v>
      </c>
      <c r="E114" s="5">
        <f t="shared" si="4"/>
        <v>12606229.782</v>
      </c>
      <c r="H114" s="5">
        <f t="shared" si="4"/>
        <v>18376474.131</v>
      </c>
    </row>
    <row r="115" spans="3:8">
      <c r="C115" s="4"/>
      <c r="E115" s="5"/>
      <c r="H115" s="5"/>
    </row>
    <row r="117" spans="1:11">
      <c r="A117" t="s">
        <v>127</v>
      </c>
      <c r="B117" t="s">
        <v>128</v>
      </c>
      <c r="C117" t="s">
        <v>381</v>
      </c>
      <c r="D117">
        <v>2.66</v>
      </c>
      <c r="E117">
        <f t="shared" ref="E117:E180" si="5">C117*D117</f>
        <v>0</v>
      </c>
      <c r="F117" t="s">
        <v>472</v>
      </c>
      <c r="G117">
        <v>3.61</v>
      </c>
      <c r="H117" s="3">
        <f t="shared" ref="H117:H180" si="6">F117*G117</f>
        <v>1155291.8023</v>
      </c>
      <c r="I117" t="s">
        <v>383</v>
      </c>
      <c r="J117" t="s">
        <v>383</v>
      </c>
      <c r="K117" t="s">
        <v>383</v>
      </c>
    </row>
    <row r="118" spans="1:11">
      <c r="A118" t="s">
        <v>127</v>
      </c>
      <c r="B118" t="s">
        <v>129</v>
      </c>
      <c r="C118" t="s">
        <v>381</v>
      </c>
      <c r="D118">
        <v>2.66</v>
      </c>
      <c r="E118" s="3">
        <f t="shared" si="5"/>
        <v>0</v>
      </c>
      <c r="F118" t="s">
        <v>473</v>
      </c>
      <c r="G118">
        <v>3.61</v>
      </c>
      <c r="H118" s="3">
        <f t="shared" si="6"/>
        <v>624031.9283</v>
      </c>
      <c r="I118" t="s">
        <v>383</v>
      </c>
      <c r="J118" t="s">
        <v>383</v>
      </c>
      <c r="K118" t="s">
        <v>383</v>
      </c>
    </row>
    <row r="119" spans="1:11">
      <c r="A119" t="s">
        <v>127</v>
      </c>
      <c r="B119" t="s">
        <v>130</v>
      </c>
      <c r="C119" t="s">
        <v>381</v>
      </c>
      <c r="D119">
        <v>2.66</v>
      </c>
      <c r="E119" s="3">
        <f t="shared" si="5"/>
        <v>0</v>
      </c>
      <c r="F119" t="s">
        <v>474</v>
      </c>
      <c r="G119">
        <v>3.61</v>
      </c>
      <c r="H119" s="3">
        <f t="shared" si="6"/>
        <v>7964.8874</v>
      </c>
      <c r="I119" t="s">
        <v>383</v>
      </c>
      <c r="J119" t="s">
        <v>383</v>
      </c>
      <c r="K119" t="s">
        <v>383</v>
      </c>
    </row>
    <row r="120" spans="1:11">
      <c r="A120" t="s">
        <v>127</v>
      </c>
      <c r="B120" t="s">
        <v>131</v>
      </c>
      <c r="C120" t="s">
        <v>381</v>
      </c>
      <c r="D120">
        <v>2.66</v>
      </c>
      <c r="E120" s="3">
        <f t="shared" si="5"/>
        <v>0</v>
      </c>
      <c r="F120" t="s">
        <v>399</v>
      </c>
      <c r="G120">
        <v>3.61</v>
      </c>
      <c r="H120" s="3">
        <f t="shared" si="6"/>
        <v>162.4139</v>
      </c>
      <c r="I120" t="s">
        <v>383</v>
      </c>
      <c r="J120" t="s">
        <v>383</v>
      </c>
      <c r="K120" t="s">
        <v>383</v>
      </c>
    </row>
    <row r="121" spans="1:11">
      <c r="A121" t="s">
        <v>127</v>
      </c>
      <c r="B121" t="s">
        <v>132</v>
      </c>
      <c r="C121" t="s">
        <v>419</v>
      </c>
      <c r="D121">
        <v>2.66</v>
      </c>
      <c r="E121" s="3">
        <f t="shared" si="5"/>
        <v>159600</v>
      </c>
      <c r="F121" t="s">
        <v>381</v>
      </c>
      <c r="G121">
        <v>3.61</v>
      </c>
      <c r="H121" s="3">
        <f t="shared" si="6"/>
        <v>0</v>
      </c>
      <c r="I121" t="s">
        <v>383</v>
      </c>
      <c r="J121" t="s">
        <v>383</v>
      </c>
      <c r="K121" t="s">
        <v>383</v>
      </c>
    </row>
    <row r="122" spans="1:11">
      <c r="A122" t="s">
        <v>127</v>
      </c>
      <c r="B122" t="s">
        <v>133</v>
      </c>
      <c r="C122" t="s">
        <v>475</v>
      </c>
      <c r="D122">
        <v>2.66</v>
      </c>
      <c r="E122" s="3">
        <f t="shared" si="5"/>
        <v>1995</v>
      </c>
      <c r="F122" t="s">
        <v>381</v>
      </c>
      <c r="G122">
        <v>3.61</v>
      </c>
      <c r="H122" s="3">
        <f t="shared" si="6"/>
        <v>0</v>
      </c>
      <c r="I122" t="s">
        <v>383</v>
      </c>
      <c r="J122" t="s">
        <v>383</v>
      </c>
      <c r="K122" t="s">
        <v>383</v>
      </c>
    </row>
    <row r="123" spans="1:11">
      <c r="A123" t="s">
        <v>127</v>
      </c>
      <c r="B123" t="s">
        <v>133</v>
      </c>
      <c r="C123" t="s">
        <v>476</v>
      </c>
      <c r="D123">
        <v>2.66</v>
      </c>
      <c r="E123" s="3">
        <f t="shared" si="5"/>
        <v>299.25</v>
      </c>
      <c r="F123" t="s">
        <v>381</v>
      </c>
      <c r="G123">
        <v>3.61</v>
      </c>
      <c r="H123" s="3">
        <f t="shared" si="6"/>
        <v>0</v>
      </c>
      <c r="I123" t="s">
        <v>383</v>
      </c>
      <c r="J123" t="s">
        <v>383</v>
      </c>
      <c r="K123" t="s">
        <v>383</v>
      </c>
    </row>
    <row r="124" spans="1:11">
      <c r="A124" t="s">
        <v>127</v>
      </c>
      <c r="B124" t="s">
        <v>134</v>
      </c>
      <c r="C124" t="s">
        <v>477</v>
      </c>
      <c r="D124">
        <v>2.66</v>
      </c>
      <c r="E124" s="3">
        <f t="shared" si="5"/>
        <v>117040</v>
      </c>
      <c r="F124" t="s">
        <v>381</v>
      </c>
      <c r="G124">
        <v>3.61</v>
      </c>
      <c r="H124" s="3">
        <f t="shared" si="6"/>
        <v>0</v>
      </c>
      <c r="I124" t="s">
        <v>383</v>
      </c>
      <c r="J124" t="s">
        <v>383</v>
      </c>
      <c r="K124" t="s">
        <v>383</v>
      </c>
    </row>
    <row r="125" spans="1:11">
      <c r="A125" t="s">
        <v>127</v>
      </c>
      <c r="B125" t="s">
        <v>135</v>
      </c>
      <c r="C125" t="s">
        <v>384</v>
      </c>
      <c r="D125">
        <v>2.66</v>
      </c>
      <c r="E125" s="3">
        <f t="shared" si="5"/>
        <v>31920</v>
      </c>
      <c r="F125" t="s">
        <v>381</v>
      </c>
      <c r="G125">
        <v>3.61</v>
      </c>
      <c r="H125" s="3">
        <f t="shared" si="6"/>
        <v>0</v>
      </c>
      <c r="I125" t="s">
        <v>383</v>
      </c>
      <c r="J125" t="s">
        <v>383</v>
      </c>
      <c r="K125" t="s">
        <v>383</v>
      </c>
    </row>
    <row r="126" spans="1:11">
      <c r="A126" t="s">
        <v>127</v>
      </c>
      <c r="B126" t="s">
        <v>136</v>
      </c>
      <c r="C126" t="s">
        <v>385</v>
      </c>
      <c r="D126">
        <v>2.66</v>
      </c>
      <c r="E126" s="3">
        <f t="shared" si="5"/>
        <v>45220</v>
      </c>
      <c r="F126" t="s">
        <v>381</v>
      </c>
      <c r="G126">
        <v>3.61</v>
      </c>
      <c r="H126" s="3">
        <f t="shared" si="6"/>
        <v>0</v>
      </c>
      <c r="I126" t="s">
        <v>383</v>
      </c>
      <c r="J126" t="s">
        <v>383</v>
      </c>
      <c r="K126" t="s">
        <v>383</v>
      </c>
    </row>
    <row r="127" spans="1:11">
      <c r="A127" t="s">
        <v>127</v>
      </c>
      <c r="B127" t="s">
        <v>137</v>
      </c>
      <c r="C127" t="s">
        <v>412</v>
      </c>
      <c r="D127">
        <v>2.66</v>
      </c>
      <c r="E127" s="3">
        <f t="shared" si="5"/>
        <v>638400</v>
      </c>
      <c r="F127" t="s">
        <v>381</v>
      </c>
      <c r="G127">
        <v>3.61</v>
      </c>
      <c r="H127" s="3">
        <f t="shared" si="6"/>
        <v>0</v>
      </c>
      <c r="I127" t="s">
        <v>383</v>
      </c>
      <c r="J127" t="s">
        <v>383</v>
      </c>
      <c r="K127" t="s">
        <v>383</v>
      </c>
    </row>
    <row r="128" spans="1:11">
      <c r="A128" t="s">
        <v>127</v>
      </c>
      <c r="B128" t="s">
        <v>138</v>
      </c>
      <c r="C128" t="s">
        <v>478</v>
      </c>
      <c r="D128">
        <v>2.66</v>
      </c>
      <c r="E128" s="3">
        <f t="shared" si="5"/>
        <v>30145.78</v>
      </c>
      <c r="F128" t="s">
        <v>381</v>
      </c>
      <c r="G128">
        <v>3.61</v>
      </c>
      <c r="H128" s="3">
        <f t="shared" si="6"/>
        <v>0</v>
      </c>
      <c r="I128" t="s">
        <v>383</v>
      </c>
      <c r="J128" t="s">
        <v>383</v>
      </c>
      <c r="K128" t="s">
        <v>383</v>
      </c>
    </row>
    <row r="129" spans="1:11">
      <c r="A129" t="s">
        <v>127</v>
      </c>
      <c r="B129" t="s">
        <v>139</v>
      </c>
      <c r="C129" t="s">
        <v>479</v>
      </c>
      <c r="D129">
        <v>2.66</v>
      </c>
      <c r="E129" s="3">
        <f t="shared" si="5"/>
        <v>26600</v>
      </c>
      <c r="F129" t="s">
        <v>381</v>
      </c>
      <c r="G129">
        <v>3.61</v>
      </c>
      <c r="H129" s="3">
        <f t="shared" si="6"/>
        <v>0</v>
      </c>
      <c r="I129" t="s">
        <v>383</v>
      </c>
      <c r="J129" t="s">
        <v>383</v>
      </c>
      <c r="K129" t="s">
        <v>383</v>
      </c>
    </row>
    <row r="130" spans="1:11">
      <c r="A130" t="s">
        <v>127</v>
      </c>
      <c r="B130" t="s">
        <v>140</v>
      </c>
      <c r="C130" t="s">
        <v>388</v>
      </c>
      <c r="D130">
        <v>2.66</v>
      </c>
      <c r="E130" s="3">
        <f t="shared" si="5"/>
        <v>94430</v>
      </c>
      <c r="F130" t="s">
        <v>381</v>
      </c>
      <c r="G130">
        <v>3.61</v>
      </c>
      <c r="H130" s="3">
        <f t="shared" si="6"/>
        <v>0</v>
      </c>
      <c r="I130" t="s">
        <v>383</v>
      </c>
      <c r="J130" t="s">
        <v>383</v>
      </c>
      <c r="K130" t="s">
        <v>383</v>
      </c>
    </row>
    <row r="131" spans="1:11">
      <c r="A131" t="s">
        <v>141</v>
      </c>
      <c r="B131" t="s">
        <v>142</v>
      </c>
      <c r="C131" t="s">
        <v>412</v>
      </c>
      <c r="D131">
        <v>2.66</v>
      </c>
      <c r="E131" s="3">
        <f t="shared" si="5"/>
        <v>638400</v>
      </c>
      <c r="F131" t="s">
        <v>381</v>
      </c>
      <c r="G131">
        <v>3.61</v>
      </c>
      <c r="H131" s="3">
        <f t="shared" si="6"/>
        <v>0</v>
      </c>
      <c r="I131" t="s">
        <v>383</v>
      </c>
      <c r="J131" t="s">
        <v>383</v>
      </c>
      <c r="K131" t="s">
        <v>383</v>
      </c>
    </row>
    <row r="132" spans="1:11">
      <c r="A132" t="s">
        <v>141</v>
      </c>
      <c r="B132" t="s">
        <v>143</v>
      </c>
      <c r="C132" t="s">
        <v>389</v>
      </c>
      <c r="D132">
        <v>2.66</v>
      </c>
      <c r="E132" s="3">
        <f t="shared" si="5"/>
        <v>105070</v>
      </c>
      <c r="F132" t="s">
        <v>381</v>
      </c>
      <c r="G132">
        <v>3.61</v>
      </c>
      <c r="H132" s="3">
        <f t="shared" si="6"/>
        <v>0</v>
      </c>
      <c r="I132" t="s">
        <v>383</v>
      </c>
      <c r="J132" t="s">
        <v>383</v>
      </c>
      <c r="K132" t="s">
        <v>383</v>
      </c>
    </row>
    <row r="133" spans="1:11">
      <c r="A133" t="s">
        <v>141</v>
      </c>
      <c r="B133" t="s">
        <v>144</v>
      </c>
      <c r="C133" t="s">
        <v>387</v>
      </c>
      <c r="D133">
        <v>2.66</v>
      </c>
      <c r="E133" s="3">
        <f t="shared" si="5"/>
        <v>223440</v>
      </c>
      <c r="F133" t="s">
        <v>381</v>
      </c>
      <c r="G133">
        <v>3.61</v>
      </c>
      <c r="H133" s="3">
        <f t="shared" si="6"/>
        <v>0</v>
      </c>
      <c r="I133" t="s">
        <v>383</v>
      </c>
      <c r="J133" t="s">
        <v>383</v>
      </c>
      <c r="K133" t="s">
        <v>383</v>
      </c>
    </row>
    <row r="134" spans="1:11">
      <c r="A134" t="s">
        <v>141</v>
      </c>
      <c r="B134" t="s">
        <v>145</v>
      </c>
      <c r="C134" t="s">
        <v>396</v>
      </c>
      <c r="D134">
        <v>2.66</v>
      </c>
      <c r="E134" s="3">
        <f t="shared" si="5"/>
        <v>47880</v>
      </c>
      <c r="F134" t="s">
        <v>381</v>
      </c>
      <c r="G134">
        <v>3.61</v>
      </c>
      <c r="H134" s="3">
        <f t="shared" si="6"/>
        <v>0</v>
      </c>
      <c r="I134" t="s">
        <v>383</v>
      </c>
      <c r="J134" t="s">
        <v>383</v>
      </c>
      <c r="K134" t="s">
        <v>383</v>
      </c>
    </row>
    <row r="135" spans="1:11">
      <c r="A135" t="s">
        <v>141</v>
      </c>
      <c r="B135" t="s">
        <v>146</v>
      </c>
      <c r="C135" t="s">
        <v>395</v>
      </c>
      <c r="D135">
        <v>2.66</v>
      </c>
      <c r="E135" s="3">
        <f t="shared" si="5"/>
        <v>66500</v>
      </c>
      <c r="F135" t="s">
        <v>381</v>
      </c>
      <c r="G135">
        <v>3.61</v>
      </c>
      <c r="H135" s="3">
        <f t="shared" si="6"/>
        <v>0</v>
      </c>
      <c r="I135" t="s">
        <v>383</v>
      </c>
      <c r="J135" t="s">
        <v>383</v>
      </c>
      <c r="K135" t="s">
        <v>383</v>
      </c>
    </row>
    <row r="136" spans="1:11">
      <c r="A136" t="s">
        <v>141</v>
      </c>
      <c r="B136" t="s">
        <v>147</v>
      </c>
      <c r="C136" t="s">
        <v>393</v>
      </c>
      <c r="D136">
        <v>2.66</v>
      </c>
      <c r="E136" s="3">
        <f t="shared" si="5"/>
        <v>131138</v>
      </c>
      <c r="F136" t="s">
        <v>381</v>
      </c>
      <c r="G136">
        <v>3.61</v>
      </c>
      <c r="H136" s="3">
        <f t="shared" si="6"/>
        <v>0</v>
      </c>
      <c r="I136" t="s">
        <v>383</v>
      </c>
      <c r="J136" t="s">
        <v>383</v>
      </c>
      <c r="K136" t="s">
        <v>383</v>
      </c>
    </row>
    <row r="137" spans="1:11">
      <c r="A137" t="s">
        <v>141</v>
      </c>
      <c r="B137" t="s">
        <v>148</v>
      </c>
      <c r="C137" t="s">
        <v>394</v>
      </c>
      <c r="D137">
        <v>2.66</v>
      </c>
      <c r="E137" s="3">
        <f t="shared" si="5"/>
        <v>316540</v>
      </c>
      <c r="F137" t="s">
        <v>381</v>
      </c>
      <c r="G137">
        <v>3.61</v>
      </c>
      <c r="H137" s="3">
        <f t="shared" si="6"/>
        <v>0</v>
      </c>
      <c r="I137" t="s">
        <v>383</v>
      </c>
      <c r="J137" t="s">
        <v>383</v>
      </c>
      <c r="K137" t="s">
        <v>383</v>
      </c>
    </row>
    <row r="138" spans="1:11">
      <c r="A138" t="s">
        <v>141</v>
      </c>
      <c r="B138" t="s">
        <v>149</v>
      </c>
      <c r="C138" t="s">
        <v>480</v>
      </c>
      <c r="D138">
        <v>2.66</v>
      </c>
      <c r="E138" s="3">
        <f t="shared" si="5"/>
        <v>90440</v>
      </c>
      <c r="F138" t="s">
        <v>381</v>
      </c>
      <c r="G138">
        <v>3.61</v>
      </c>
      <c r="H138" s="3">
        <f t="shared" si="6"/>
        <v>0</v>
      </c>
      <c r="I138" t="s">
        <v>383</v>
      </c>
      <c r="J138" t="s">
        <v>383</v>
      </c>
      <c r="K138" t="s">
        <v>383</v>
      </c>
    </row>
    <row r="139" spans="1:11">
      <c r="A139" t="s">
        <v>141</v>
      </c>
      <c r="B139" t="s">
        <v>150</v>
      </c>
      <c r="C139" t="s">
        <v>397</v>
      </c>
      <c r="D139">
        <v>2.66</v>
      </c>
      <c r="E139" s="3">
        <f t="shared" si="5"/>
        <v>46550</v>
      </c>
      <c r="F139" t="s">
        <v>381</v>
      </c>
      <c r="G139">
        <v>3.61</v>
      </c>
      <c r="H139" s="3">
        <f t="shared" si="6"/>
        <v>0</v>
      </c>
      <c r="I139" t="s">
        <v>383</v>
      </c>
      <c r="J139" t="s">
        <v>383</v>
      </c>
      <c r="K139" t="s">
        <v>383</v>
      </c>
    </row>
    <row r="140" spans="1:11">
      <c r="A140" t="s">
        <v>141</v>
      </c>
      <c r="B140" t="s">
        <v>151</v>
      </c>
      <c r="C140" t="s">
        <v>386</v>
      </c>
      <c r="D140">
        <v>2.66</v>
      </c>
      <c r="E140" s="3">
        <f t="shared" si="5"/>
        <v>118104</v>
      </c>
      <c r="F140" t="s">
        <v>381</v>
      </c>
      <c r="G140">
        <v>3.61</v>
      </c>
      <c r="H140" s="3">
        <f t="shared" si="6"/>
        <v>0</v>
      </c>
      <c r="I140" t="s">
        <v>383</v>
      </c>
      <c r="J140" t="s">
        <v>383</v>
      </c>
      <c r="K140" t="s">
        <v>383</v>
      </c>
    </row>
    <row r="141" spans="1:11">
      <c r="A141" t="s">
        <v>141</v>
      </c>
      <c r="B141" t="s">
        <v>152</v>
      </c>
      <c r="C141" t="s">
        <v>390</v>
      </c>
      <c r="D141">
        <v>2.66</v>
      </c>
      <c r="E141" s="3">
        <f t="shared" si="5"/>
        <v>53200</v>
      </c>
      <c r="F141" t="s">
        <v>381</v>
      </c>
      <c r="G141">
        <v>3.61</v>
      </c>
      <c r="H141" s="3">
        <f t="shared" si="6"/>
        <v>0</v>
      </c>
      <c r="I141" t="s">
        <v>383</v>
      </c>
      <c r="J141" t="s">
        <v>383</v>
      </c>
      <c r="K141" t="s">
        <v>383</v>
      </c>
    </row>
    <row r="142" spans="1:11">
      <c r="A142" t="s">
        <v>141</v>
      </c>
      <c r="B142" t="s">
        <v>153</v>
      </c>
      <c r="C142" t="s">
        <v>391</v>
      </c>
      <c r="D142">
        <v>2.66</v>
      </c>
      <c r="E142" s="3">
        <f t="shared" si="5"/>
        <v>196840</v>
      </c>
      <c r="F142" t="s">
        <v>381</v>
      </c>
      <c r="G142">
        <v>3.61</v>
      </c>
      <c r="H142" s="3">
        <f t="shared" si="6"/>
        <v>0</v>
      </c>
      <c r="I142" t="s">
        <v>383</v>
      </c>
      <c r="J142" t="s">
        <v>383</v>
      </c>
      <c r="K142" t="s">
        <v>383</v>
      </c>
    </row>
    <row r="143" spans="1:11">
      <c r="A143" t="s">
        <v>141</v>
      </c>
      <c r="B143" t="s">
        <v>154</v>
      </c>
      <c r="C143" t="s">
        <v>381</v>
      </c>
      <c r="D143">
        <v>2.66</v>
      </c>
      <c r="E143" s="3">
        <f t="shared" si="5"/>
        <v>0</v>
      </c>
      <c r="F143" t="s">
        <v>481</v>
      </c>
      <c r="G143">
        <v>3.61</v>
      </c>
      <c r="H143" s="3">
        <f t="shared" si="6"/>
        <v>463894.1333</v>
      </c>
      <c r="I143" t="s">
        <v>383</v>
      </c>
      <c r="J143" t="s">
        <v>383</v>
      </c>
      <c r="K143" t="s">
        <v>383</v>
      </c>
    </row>
    <row r="144" spans="1:11">
      <c r="A144" t="s">
        <v>141</v>
      </c>
      <c r="B144" t="s">
        <v>155</v>
      </c>
      <c r="C144" t="s">
        <v>381</v>
      </c>
      <c r="D144">
        <v>2.66</v>
      </c>
      <c r="E144" s="3">
        <f t="shared" si="5"/>
        <v>0</v>
      </c>
      <c r="F144" t="s">
        <v>426</v>
      </c>
      <c r="G144">
        <v>3.61</v>
      </c>
      <c r="H144" s="3">
        <f t="shared" si="6"/>
        <v>3927.7161</v>
      </c>
      <c r="I144" t="s">
        <v>383</v>
      </c>
      <c r="J144" t="s">
        <v>383</v>
      </c>
      <c r="K144" t="s">
        <v>383</v>
      </c>
    </row>
    <row r="145" spans="1:11">
      <c r="A145" t="s">
        <v>156</v>
      </c>
      <c r="B145" t="s">
        <v>157</v>
      </c>
      <c r="C145" t="s">
        <v>381</v>
      </c>
      <c r="D145">
        <v>2.66</v>
      </c>
      <c r="E145" s="3">
        <f t="shared" si="5"/>
        <v>0</v>
      </c>
      <c r="F145" t="s">
        <v>482</v>
      </c>
      <c r="G145">
        <v>3.61</v>
      </c>
      <c r="H145" s="3">
        <f t="shared" si="6"/>
        <v>876300.7499</v>
      </c>
      <c r="I145" t="s">
        <v>383</v>
      </c>
      <c r="J145" t="s">
        <v>383</v>
      </c>
      <c r="K145" t="s">
        <v>383</v>
      </c>
    </row>
    <row r="146" spans="1:11">
      <c r="A146" t="s">
        <v>156</v>
      </c>
      <c r="B146" t="s">
        <v>158</v>
      </c>
      <c r="C146" t="s">
        <v>381</v>
      </c>
      <c r="D146">
        <v>2.66</v>
      </c>
      <c r="E146" s="3">
        <f t="shared" si="5"/>
        <v>0</v>
      </c>
      <c r="F146" t="s">
        <v>425</v>
      </c>
      <c r="G146">
        <v>3.61</v>
      </c>
      <c r="H146" s="3">
        <f t="shared" si="6"/>
        <v>2924.0639</v>
      </c>
      <c r="I146" t="s">
        <v>383</v>
      </c>
      <c r="J146" t="s">
        <v>383</v>
      </c>
      <c r="K146" t="s">
        <v>383</v>
      </c>
    </row>
    <row r="147" spans="1:11">
      <c r="A147" t="s">
        <v>156</v>
      </c>
      <c r="B147" t="s">
        <v>159</v>
      </c>
      <c r="C147" t="s">
        <v>381</v>
      </c>
      <c r="D147">
        <v>2.66</v>
      </c>
      <c r="E147" s="3">
        <f t="shared" si="5"/>
        <v>0</v>
      </c>
      <c r="F147" t="s">
        <v>483</v>
      </c>
      <c r="G147">
        <v>3.61</v>
      </c>
      <c r="H147" s="3">
        <f t="shared" si="6"/>
        <v>23573.4444</v>
      </c>
      <c r="I147" t="s">
        <v>383</v>
      </c>
      <c r="J147" t="s">
        <v>383</v>
      </c>
      <c r="K147" t="s">
        <v>383</v>
      </c>
    </row>
    <row r="148" spans="1:11">
      <c r="A148" t="s">
        <v>160</v>
      </c>
      <c r="B148" t="s">
        <v>161</v>
      </c>
      <c r="C148" t="s">
        <v>381</v>
      </c>
      <c r="D148">
        <v>2.66</v>
      </c>
      <c r="E148" s="3">
        <f t="shared" si="5"/>
        <v>0</v>
      </c>
      <c r="F148" t="s">
        <v>484</v>
      </c>
      <c r="G148">
        <v>3.61</v>
      </c>
      <c r="H148" s="3">
        <f t="shared" si="6"/>
        <v>824261.2281</v>
      </c>
      <c r="I148" t="s">
        <v>383</v>
      </c>
      <c r="J148" t="s">
        <v>383</v>
      </c>
      <c r="K148" t="s">
        <v>383</v>
      </c>
    </row>
    <row r="149" spans="1:11">
      <c r="A149" t="s">
        <v>160</v>
      </c>
      <c r="B149" t="s">
        <v>162</v>
      </c>
      <c r="C149" t="s">
        <v>485</v>
      </c>
      <c r="D149">
        <v>2.66</v>
      </c>
      <c r="E149" s="3">
        <f t="shared" si="5"/>
        <v>220780</v>
      </c>
      <c r="F149" t="s">
        <v>381</v>
      </c>
      <c r="G149">
        <v>3.61</v>
      </c>
      <c r="H149" s="3">
        <f t="shared" si="6"/>
        <v>0</v>
      </c>
      <c r="I149" t="s">
        <v>383</v>
      </c>
      <c r="J149" t="s">
        <v>383</v>
      </c>
      <c r="K149" t="s">
        <v>383</v>
      </c>
    </row>
    <row r="150" spans="1:11">
      <c r="A150" t="s">
        <v>160</v>
      </c>
      <c r="B150" t="s">
        <v>163</v>
      </c>
      <c r="C150" t="s">
        <v>381</v>
      </c>
      <c r="D150">
        <v>2.66</v>
      </c>
      <c r="E150" s="3">
        <f t="shared" si="5"/>
        <v>0</v>
      </c>
      <c r="F150" t="s">
        <v>429</v>
      </c>
      <c r="G150">
        <v>3.61</v>
      </c>
      <c r="H150" s="3">
        <f t="shared" si="6"/>
        <v>12505.0761</v>
      </c>
      <c r="I150" t="s">
        <v>383</v>
      </c>
      <c r="J150" t="s">
        <v>383</v>
      </c>
      <c r="K150" t="s">
        <v>383</v>
      </c>
    </row>
    <row r="151" spans="1:11">
      <c r="A151" t="s">
        <v>164</v>
      </c>
      <c r="B151" t="s">
        <v>165</v>
      </c>
      <c r="C151" t="s">
        <v>381</v>
      </c>
      <c r="D151">
        <v>2.66</v>
      </c>
      <c r="E151" s="3">
        <f t="shared" si="5"/>
        <v>0</v>
      </c>
      <c r="F151" t="s">
        <v>486</v>
      </c>
      <c r="G151">
        <v>3.61</v>
      </c>
      <c r="H151" s="3">
        <f t="shared" si="6"/>
        <v>842050.8027</v>
      </c>
      <c r="I151" t="s">
        <v>383</v>
      </c>
      <c r="J151" t="s">
        <v>383</v>
      </c>
      <c r="K151" t="s">
        <v>383</v>
      </c>
    </row>
    <row r="152" spans="1:11">
      <c r="A152" t="s">
        <v>164</v>
      </c>
      <c r="B152" t="s">
        <v>166</v>
      </c>
      <c r="C152" t="s">
        <v>381</v>
      </c>
      <c r="D152">
        <v>2.66</v>
      </c>
      <c r="E152" s="3">
        <f t="shared" si="5"/>
        <v>0</v>
      </c>
      <c r="F152" t="s">
        <v>487</v>
      </c>
      <c r="G152">
        <v>3.61</v>
      </c>
      <c r="H152" s="3">
        <f t="shared" si="6"/>
        <v>1299.5639</v>
      </c>
      <c r="I152" t="s">
        <v>383</v>
      </c>
      <c r="J152" t="s">
        <v>383</v>
      </c>
      <c r="K152" t="s">
        <v>383</v>
      </c>
    </row>
    <row r="153" spans="1:11">
      <c r="A153" t="s">
        <v>167</v>
      </c>
      <c r="B153" t="s">
        <v>168</v>
      </c>
      <c r="C153" t="s">
        <v>381</v>
      </c>
      <c r="D153">
        <v>2.66</v>
      </c>
      <c r="E153" s="3">
        <f t="shared" si="5"/>
        <v>0</v>
      </c>
      <c r="F153" t="s">
        <v>488</v>
      </c>
      <c r="G153">
        <v>3.61</v>
      </c>
      <c r="H153" s="3">
        <f t="shared" si="6"/>
        <v>417063.6249</v>
      </c>
      <c r="I153" t="s">
        <v>383</v>
      </c>
      <c r="J153" t="s">
        <v>383</v>
      </c>
      <c r="K153" t="s">
        <v>383</v>
      </c>
    </row>
    <row r="154" spans="1:11">
      <c r="A154" t="s">
        <v>167</v>
      </c>
      <c r="B154" t="s">
        <v>169</v>
      </c>
      <c r="C154" t="s">
        <v>381</v>
      </c>
      <c r="D154">
        <v>2.66</v>
      </c>
      <c r="E154" s="3">
        <f t="shared" si="5"/>
        <v>0</v>
      </c>
      <c r="F154" t="s">
        <v>489</v>
      </c>
      <c r="G154">
        <v>3.61</v>
      </c>
      <c r="H154" s="3">
        <f t="shared" si="6"/>
        <v>702100.1999</v>
      </c>
      <c r="I154" t="s">
        <v>383</v>
      </c>
      <c r="J154" t="s">
        <v>383</v>
      </c>
      <c r="K154" t="s">
        <v>383</v>
      </c>
    </row>
    <row r="155" spans="1:11">
      <c r="A155" t="s">
        <v>167</v>
      </c>
      <c r="B155" t="s">
        <v>170</v>
      </c>
      <c r="C155" t="s">
        <v>490</v>
      </c>
      <c r="D155">
        <v>2.66</v>
      </c>
      <c r="E155" s="3">
        <f t="shared" si="5"/>
        <v>37511.32</v>
      </c>
      <c r="F155" t="s">
        <v>381</v>
      </c>
      <c r="G155">
        <v>3.61</v>
      </c>
      <c r="H155" s="3">
        <f t="shared" si="6"/>
        <v>0</v>
      </c>
      <c r="I155" t="s">
        <v>383</v>
      </c>
      <c r="J155" t="s">
        <v>383</v>
      </c>
      <c r="K155" t="s">
        <v>383</v>
      </c>
    </row>
    <row r="156" spans="1:11">
      <c r="A156" t="s">
        <v>167</v>
      </c>
      <c r="B156" t="s">
        <v>171</v>
      </c>
      <c r="C156" t="s">
        <v>491</v>
      </c>
      <c r="D156">
        <v>2.66</v>
      </c>
      <c r="E156" s="3">
        <f t="shared" si="5"/>
        <v>171796.1</v>
      </c>
      <c r="F156" t="s">
        <v>381</v>
      </c>
      <c r="G156">
        <v>3.61</v>
      </c>
      <c r="H156" s="3">
        <f t="shared" si="6"/>
        <v>0</v>
      </c>
      <c r="I156" t="s">
        <v>383</v>
      </c>
      <c r="J156" t="s">
        <v>383</v>
      </c>
      <c r="K156" t="s">
        <v>383</v>
      </c>
    </row>
    <row r="157" spans="1:11">
      <c r="A157" t="s">
        <v>167</v>
      </c>
      <c r="B157" t="s">
        <v>171</v>
      </c>
      <c r="C157" t="s">
        <v>402</v>
      </c>
      <c r="D157">
        <v>2.66</v>
      </c>
      <c r="E157" s="3">
        <f t="shared" si="5"/>
        <v>23.142</v>
      </c>
      <c r="F157" t="s">
        <v>381</v>
      </c>
      <c r="G157">
        <v>3.61</v>
      </c>
      <c r="H157" s="3">
        <f t="shared" si="6"/>
        <v>0</v>
      </c>
      <c r="I157" t="s">
        <v>383</v>
      </c>
      <c r="J157" t="s">
        <v>383</v>
      </c>
      <c r="K157" t="s">
        <v>383</v>
      </c>
    </row>
    <row r="158" spans="1:11">
      <c r="A158" t="s">
        <v>167</v>
      </c>
      <c r="B158" t="s">
        <v>171</v>
      </c>
      <c r="C158" t="s">
        <v>403</v>
      </c>
      <c r="D158">
        <v>2.66</v>
      </c>
      <c r="E158" s="3">
        <f t="shared" si="5"/>
        <v>3.458</v>
      </c>
      <c r="F158" t="s">
        <v>381</v>
      </c>
      <c r="G158">
        <v>3.61</v>
      </c>
      <c r="H158" s="3">
        <f t="shared" si="6"/>
        <v>0</v>
      </c>
      <c r="I158" t="s">
        <v>383</v>
      </c>
      <c r="J158" t="s">
        <v>383</v>
      </c>
      <c r="K158" t="s">
        <v>383</v>
      </c>
    </row>
    <row r="159" spans="1:11">
      <c r="A159" t="s">
        <v>167</v>
      </c>
      <c r="B159" t="s">
        <v>172</v>
      </c>
      <c r="C159" t="s">
        <v>492</v>
      </c>
      <c r="D159">
        <v>2.66</v>
      </c>
      <c r="E159" s="3">
        <f t="shared" si="5"/>
        <v>2295580</v>
      </c>
      <c r="F159" t="s">
        <v>381</v>
      </c>
      <c r="G159">
        <v>3.61</v>
      </c>
      <c r="H159" s="3">
        <f t="shared" si="6"/>
        <v>0</v>
      </c>
      <c r="I159" t="s">
        <v>383</v>
      </c>
      <c r="J159" t="s">
        <v>383</v>
      </c>
      <c r="K159" t="s">
        <v>383</v>
      </c>
    </row>
    <row r="160" spans="1:11">
      <c r="A160" t="s">
        <v>167</v>
      </c>
      <c r="B160" t="s">
        <v>173</v>
      </c>
      <c r="C160" t="s">
        <v>381</v>
      </c>
      <c r="D160">
        <v>2.66</v>
      </c>
      <c r="E160" s="3">
        <f t="shared" si="5"/>
        <v>0</v>
      </c>
      <c r="F160" t="s">
        <v>399</v>
      </c>
      <c r="G160">
        <v>3.61</v>
      </c>
      <c r="H160" s="3">
        <f t="shared" si="6"/>
        <v>162.4139</v>
      </c>
      <c r="I160" t="s">
        <v>383</v>
      </c>
      <c r="J160" t="s">
        <v>383</v>
      </c>
      <c r="K160" t="s">
        <v>383</v>
      </c>
    </row>
    <row r="161" spans="1:11">
      <c r="A161" t="s">
        <v>167</v>
      </c>
      <c r="B161" t="s">
        <v>174</v>
      </c>
      <c r="C161" t="s">
        <v>381</v>
      </c>
      <c r="D161">
        <v>2.66</v>
      </c>
      <c r="E161" s="3">
        <f t="shared" si="5"/>
        <v>0</v>
      </c>
      <c r="F161" t="s">
        <v>493</v>
      </c>
      <c r="G161">
        <v>3.61</v>
      </c>
      <c r="H161" s="3">
        <f t="shared" si="6"/>
        <v>20360.5083</v>
      </c>
      <c r="I161" t="s">
        <v>383</v>
      </c>
      <c r="J161" t="s">
        <v>383</v>
      </c>
      <c r="K161" t="s">
        <v>383</v>
      </c>
    </row>
    <row r="162" spans="1:11">
      <c r="A162" t="s">
        <v>167</v>
      </c>
      <c r="B162" t="s">
        <v>175</v>
      </c>
      <c r="C162" t="s">
        <v>381</v>
      </c>
      <c r="D162">
        <v>2.66</v>
      </c>
      <c r="E162" s="3">
        <f t="shared" si="5"/>
        <v>0</v>
      </c>
      <c r="F162" t="s">
        <v>494</v>
      </c>
      <c r="G162">
        <v>3.61</v>
      </c>
      <c r="H162" s="3">
        <f t="shared" si="6"/>
        <v>23490.0173</v>
      </c>
      <c r="I162" t="s">
        <v>383</v>
      </c>
      <c r="J162" t="s">
        <v>383</v>
      </c>
      <c r="K162" t="s">
        <v>383</v>
      </c>
    </row>
    <row r="163" spans="1:11">
      <c r="A163" t="s">
        <v>176</v>
      </c>
      <c r="B163" t="s">
        <v>177</v>
      </c>
      <c r="C163" t="s">
        <v>381</v>
      </c>
      <c r="D163">
        <v>2.66</v>
      </c>
      <c r="E163" s="3">
        <f t="shared" si="5"/>
        <v>0</v>
      </c>
      <c r="F163" t="s">
        <v>495</v>
      </c>
      <c r="G163">
        <v>3.61</v>
      </c>
      <c r="H163" s="3">
        <f t="shared" si="6"/>
        <v>639446.3034</v>
      </c>
      <c r="I163" t="s">
        <v>383</v>
      </c>
      <c r="J163" t="s">
        <v>383</v>
      </c>
      <c r="K163" t="s">
        <v>383</v>
      </c>
    </row>
    <row r="164" spans="1:11">
      <c r="A164" t="s">
        <v>176</v>
      </c>
      <c r="B164" t="s">
        <v>178</v>
      </c>
      <c r="C164" t="s">
        <v>419</v>
      </c>
      <c r="D164">
        <v>2.66</v>
      </c>
      <c r="E164" s="3">
        <f t="shared" si="5"/>
        <v>159600</v>
      </c>
      <c r="F164" t="s">
        <v>381</v>
      </c>
      <c r="G164">
        <v>3.61</v>
      </c>
      <c r="H164" s="3">
        <f t="shared" si="6"/>
        <v>0</v>
      </c>
      <c r="I164" t="s">
        <v>383</v>
      </c>
      <c r="J164" t="s">
        <v>383</v>
      </c>
      <c r="K164" t="s">
        <v>383</v>
      </c>
    </row>
    <row r="165" spans="1:11">
      <c r="A165" t="s">
        <v>179</v>
      </c>
      <c r="B165" t="s">
        <v>180</v>
      </c>
      <c r="C165" t="s">
        <v>381</v>
      </c>
      <c r="D165">
        <v>2.66</v>
      </c>
      <c r="E165" s="3">
        <f t="shared" si="5"/>
        <v>0</v>
      </c>
      <c r="F165" t="s">
        <v>496</v>
      </c>
      <c r="G165">
        <v>3.61</v>
      </c>
      <c r="H165" s="3">
        <f t="shared" si="6"/>
        <v>700108.7434</v>
      </c>
      <c r="I165" t="s">
        <v>383</v>
      </c>
      <c r="J165" t="s">
        <v>383</v>
      </c>
      <c r="K165" t="s">
        <v>383</v>
      </c>
    </row>
    <row r="166" spans="1:11">
      <c r="A166" t="s">
        <v>179</v>
      </c>
      <c r="B166" t="s">
        <v>181</v>
      </c>
      <c r="C166" t="s">
        <v>453</v>
      </c>
      <c r="D166">
        <v>2.66</v>
      </c>
      <c r="E166" s="3">
        <f t="shared" si="5"/>
        <v>106400</v>
      </c>
      <c r="F166" t="s">
        <v>381</v>
      </c>
      <c r="G166">
        <v>3.61</v>
      </c>
      <c r="H166" s="3">
        <f t="shared" si="6"/>
        <v>0</v>
      </c>
      <c r="I166" t="s">
        <v>383</v>
      </c>
      <c r="J166" t="s">
        <v>383</v>
      </c>
      <c r="K166" t="s">
        <v>383</v>
      </c>
    </row>
    <row r="167" spans="1:11">
      <c r="A167" t="s">
        <v>179</v>
      </c>
      <c r="B167" t="s">
        <v>182</v>
      </c>
      <c r="C167" t="s">
        <v>497</v>
      </c>
      <c r="D167">
        <v>2.66</v>
      </c>
      <c r="E167" s="3">
        <f t="shared" si="5"/>
        <v>151620</v>
      </c>
      <c r="F167" t="s">
        <v>381</v>
      </c>
      <c r="G167">
        <v>3.61</v>
      </c>
      <c r="H167" s="3">
        <f t="shared" si="6"/>
        <v>0</v>
      </c>
      <c r="I167" t="s">
        <v>383</v>
      </c>
      <c r="J167" t="s">
        <v>383</v>
      </c>
      <c r="K167" t="s">
        <v>383</v>
      </c>
    </row>
    <row r="168" spans="1:11">
      <c r="A168" t="s">
        <v>179</v>
      </c>
      <c r="B168" t="s">
        <v>183</v>
      </c>
      <c r="C168" t="s">
        <v>381</v>
      </c>
      <c r="D168">
        <v>2.66</v>
      </c>
      <c r="E168" s="3">
        <f t="shared" si="5"/>
        <v>0</v>
      </c>
      <c r="F168" t="s">
        <v>498</v>
      </c>
      <c r="G168">
        <v>3.61</v>
      </c>
      <c r="H168" s="3">
        <f t="shared" si="6"/>
        <v>7501.6161</v>
      </c>
      <c r="I168" t="s">
        <v>383</v>
      </c>
      <c r="J168" t="s">
        <v>383</v>
      </c>
      <c r="K168" t="s">
        <v>383</v>
      </c>
    </row>
    <row r="169" spans="1:11">
      <c r="A169" t="s">
        <v>184</v>
      </c>
      <c r="B169" t="s">
        <v>185</v>
      </c>
      <c r="C169" t="s">
        <v>381</v>
      </c>
      <c r="D169">
        <v>2.66</v>
      </c>
      <c r="E169" s="3">
        <f t="shared" si="5"/>
        <v>0</v>
      </c>
      <c r="F169" t="s">
        <v>499</v>
      </c>
      <c r="G169">
        <v>3.61</v>
      </c>
      <c r="H169" s="3">
        <f t="shared" si="6"/>
        <v>601182.0001</v>
      </c>
      <c r="I169" t="s">
        <v>383</v>
      </c>
      <c r="J169" t="s">
        <v>383</v>
      </c>
      <c r="K169" t="s">
        <v>383</v>
      </c>
    </row>
    <row r="170" spans="1:11">
      <c r="A170" t="s">
        <v>186</v>
      </c>
      <c r="B170" t="s">
        <v>187</v>
      </c>
      <c r="C170" t="s">
        <v>500</v>
      </c>
      <c r="D170">
        <v>2.66</v>
      </c>
      <c r="E170" s="3">
        <f t="shared" si="5"/>
        <v>47215</v>
      </c>
      <c r="F170" t="s">
        <v>381</v>
      </c>
      <c r="G170">
        <v>3.61</v>
      </c>
      <c r="H170" s="3">
        <f t="shared" si="6"/>
        <v>0</v>
      </c>
      <c r="I170" t="s">
        <v>383</v>
      </c>
      <c r="J170" t="s">
        <v>383</v>
      </c>
      <c r="K170" t="s">
        <v>383</v>
      </c>
    </row>
    <row r="171" spans="1:11">
      <c r="A171" t="s">
        <v>186</v>
      </c>
      <c r="B171" t="s">
        <v>188</v>
      </c>
      <c r="C171" t="s">
        <v>501</v>
      </c>
      <c r="D171">
        <v>2.66</v>
      </c>
      <c r="E171" s="3">
        <f t="shared" si="5"/>
        <v>105735</v>
      </c>
      <c r="F171" t="s">
        <v>381</v>
      </c>
      <c r="G171">
        <v>3.61</v>
      </c>
      <c r="H171" s="3">
        <f t="shared" si="6"/>
        <v>0</v>
      </c>
      <c r="I171" t="s">
        <v>383</v>
      </c>
      <c r="J171" t="s">
        <v>383</v>
      </c>
      <c r="K171" t="s">
        <v>383</v>
      </c>
    </row>
    <row r="172" spans="1:11">
      <c r="A172" t="s">
        <v>186</v>
      </c>
      <c r="B172" t="s">
        <v>189</v>
      </c>
      <c r="C172" t="s">
        <v>502</v>
      </c>
      <c r="D172">
        <v>2.66</v>
      </c>
      <c r="E172" s="3">
        <f t="shared" si="5"/>
        <v>111720</v>
      </c>
      <c r="F172" t="s">
        <v>381</v>
      </c>
      <c r="G172">
        <v>3.61</v>
      </c>
      <c r="H172" s="3">
        <f t="shared" si="6"/>
        <v>0</v>
      </c>
      <c r="I172" t="s">
        <v>383</v>
      </c>
      <c r="J172" t="s">
        <v>383</v>
      </c>
      <c r="K172" t="s">
        <v>383</v>
      </c>
    </row>
    <row r="173" spans="1:11">
      <c r="A173" t="s">
        <v>186</v>
      </c>
      <c r="B173" t="s">
        <v>190</v>
      </c>
      <c r="C173" t="s">
        <v>503</v>
      </c>
      <c r="D173">
        <v>2.66</v>
      </c>
      <c r="E173" s="3">
        <f t="shared" si="5"/>
        <v>98420</v>
      </c>
      <c r="F173" t="s">
        <v>381</v>
      </c>
      <c r="G173">
        <v>3.61</v>
      </c>
      <c r="H173" s="3">
        <f t="shared" si="6"/>
        <v>0</v>
      </c>
      <c r="I173" t="s">
        <v>383</v>
      </c>
      <c r="J173" t="s">
        <v>383</v>
      </c>
      <c r="K173" t="s">
        <v>383</v>
      </c>
    </row>
    <row r="174" spans="1:11">
      <c r="A174" t="s">
        <v>186</v>
      </c>
      <c r="B174" t="s">
        <v>191</v>
      </c>
      <c r="C174" t="s">
        <v>504</v>
      </c>
      <c r="D174">
        <v>2.66</v>
      </c>
      <c r="E174" s="3">
        <f t="shared" si="5"/>
        <v>23940</v>
      </c>
      <c r="F174" t="s">
        <v>381</v>
      </c>
      <c r="G174">
        <v>3.61</v>
      </c>
      <c r="H174" s="3">
        <f t="shared" si="6"/>
        <v>0</v>
      </c>
      <c r="I174" t="s">
        <v>383</v>
      </c>
      <c r="J174" t="s">
        <v>383</v>
      </c>
      <c r="K174" t="s">
        <v>383</v>
      </c>
    </row>
    <row r="175" spans="1:11">
      <c r="A175" t="s">
        <v>186</v>
      </c>
      <c r="B175" t="s">
        <v>192</v>
      </c>
      <c r="C175" t="s">
        <v>505</v>
      </c>
      <c r="D175">
        <v>2.66</v>
      </c>
      <c r="E175" s="3">
        <f t="shared" si="5"/>
        <v>33250</v>
      </c>
      <c r="F175" t="s">
        <v>381</v>
      </c>
      <c r="G175">
        <v>3.61</v>
      </c>
      <c r="H175" s="3">
        <f t="shared" si="6"/>
        <v>0</v>
      </c>
      <c r="I175" t="s">
        <v>383</v>
      </c>
      <c r="J175" t="s">
        <v>383</v>
      </c>
      <c r="K175" t="s">
        <v>383</v>
      </c>
    </row>
    <row r="176" spans="1:11">
      <c r="A176" t="s">
        <v>186</v>
      </c>
      <c r="B176" t="s">
        <v>193</v>
      </c>
      <c r="C176" t="s">
        <v>417</v>
      </c>
      <c r="D176">
        <v>2.66</v>
      </c>
      <c r="E176" s="3">
        <f t="shared" si="5"/>
        <v>8379</v>
      </c>
      <c r="F176" t="s">
        <v>381</v>
      </c>
      <c r="G176">
        <v>3.61</v>
      </c>
      <c r="H176" s="3">
        <f t="shared" si="6"/>
        <v>0</v>
      </c>
      <c r="I176" t="s">
        <v>383</v>
      </c>
      <c r="J176" t="s">
        <v>383</v>
      </c>
      <c r="K176" t="s">
        <v>383</v>
      </c>
    </row>
    <row r="177" spans="1:11">
      <c r="A177" t="s">
        <v>186</v>
      </c>
      <c r="B177" t="s">
        <v>194</v>
      </c>
      <c r="C177" t="s">
        <v>506</v>
      </c>
      <c r="D177">
        <v>2.66</v>
      </c>
      <c r="E177" s="3">
        <f t="shared" si="5"/>
        <v>66234</v>
      </c>
      <c r="F177" t="s">
        <v>381</v>
      </c>
      <c r="G177">
        <v>3.61</v>
      </c>
      <c r="H177" s="3">
        <f t="shared" si="6"/>
        <v>0</v>
      </c>
      <c r="I177" t="s">
        <v>383</v>
      </c>
      <c r="J177" t="s">
        <v>383</v>
      </c>
      <c r="K177" t="s">
        <v>383</v>
      </c>
    </row>
    <row r="178" spans="1:11">
      <c r="A178" t="s">
        <v>186</v>
      </c>
      <c r="B178" t="s">
        <v>195</v>
      </c>
      <c r="C178" t="s">
        <v>507</v>
      </c>
      <c r="D178">
        <v>2.66</v>
      </c>
      <c r="E178" s="3">
        <f t="shared" si="5"/>
        <v>28994</v>
      </c>
      <c r="F178" t="s">
        <v>381</v>
      </c>
      <c r="G178">
        <v>3.61</v>
      </c>
      <c r="H178" s="3">
        <f t="shared" si="6"/>
        <v>0</v>
      </c>
      <c r="I178" t="s">
        <v>383</v>
      </c>
      <c r="J178" t="s">
        <v>383</v>
      </c>
      <c r="K178" t="s">
        <v>383</v>
      </c>
    </row>
    <row r="179" spans="1:11">
      <c r="A179" t="s">
        <v>186</v>
      </c>
      <c r="B179" t="s">
        <v>196</v>
      </c>
      <c r="C179" t="s">
        <v>508</v>
      </c>
      <c r="D179">
        <v>2.66</v>
      </c>
      <c r="E179" s="3">
        <f t="shared" si="5"/>
        <v>22610</v>
      </c>
      <c r="F179" t="s">
        <v>381</v>
      </c>
      <c r="G179">
        <v>3.61</v>
      </c>
      <c r="H179" s="3">
        <f t="shared" si="6"/>
        <v>0</v>
      </c>
      <c r="I179" t="s">
        <v>383</v>
      </c>
      <c r="J179" t="s">
        <v>383</v>
      </c>
      <c r="K179" t="s">
        <v>383</v>
      </c>
    </row>
    <row r="180" spans="1:11">
      <c r="A180" t="s">
        <v>186</v>
      </c>
      <c r="B180" t="s">
        <v>197</v>
      </c>
      <c r="C180" t="s">
        <v>509</v>
      </c>
      <c r="D180">
        <v>2.66</v>
      </c>
      <c r="E180" s="3">
        <f t="shared" si="5"/>
        <v>319200</v>
      </c>
      <c r="F180" t="s">
        <v>381</v>
      </c>
      <c r="G180">
        <v>3.61</v>
      </c>
      <c r="H180" s="3">
        <f t="shared" si="6"/>
        <v>0</v>
      </c>
      <c r="I180" t="s">
        <v>383</v>
      </c>
      <c r="J180" t="s">
        <v>383</v>
      </c>
      <c r="K180" t="s">
        <v>383</v>
      </c>
    </row>
    <row r="181" spans="1:11">
      <c r="A181" t="s">
        <v>186</v>
      </c>
      <c r="B181" t="s">
        <v>198</v>
      </c>
      <c r="C181" t="s">
        <v>509</v>
      </c>
      <c r="D181">
        <v>2.66</v>
      </c>
      <c r="E181" s="3">
        <f t="shared" ref="E181:E244" si="7">C181*D181</f>
        <v>319200</v>
      </c>
      <c r="F181" t="s">
        <v>381</v>
      </c>
      <c r="G181">
        <v>3.61</v>
      </c>
      <c r="H181" s="3">
        <f t="shared" ref="H181:H244" si="8">F181*G181</f>
        <v>0</v>
      </c>
      <c r="I181" t="s">
        <v>383</v>
      </c>
      <c r="J181" t="s">
        <v>383</v>
      </c>
      <c r="K181" t="s">
        <v>383</v>
      </c>
    </row>
    <row r="182" spans="1:11">
      <c r="A182" t="s">
        <v>186</v>
      </c>
      <c r="B182" t="s">
        <v>199</v>
      </c>
      <c r="C182" t="s">
        <v>510</v>
      </c>
      <c r="D182">
        <v>2.66</v>
      </c>
      <c r="E182" s="3">
        <f t="shared" si="7"/>
        <v>15960</v>
      </c>
      <c r="F182" t="s">
        <v>381</v>
      </c>
      <c r="G182">
        <v>3.61</v>
      </c>
      <c r="H182" s="3">
        <f t="shared" si="8"/>
        <v>0</v>
      </c>
      <c r="I182" t="s">
        <v>383</v>
      </c>
      <c r="J182" t="s">
        <v>383</v>
      </c>
      <c r="K182" t="s">
        <v>383</v>
      </c>
    </row>
    <row r="183" spans="1:11">
      <c r="A183" t="s">
        <v>186</v>
      </c>
      <c r="B183" t="s">
        <v>200</v>
      </c>
      <c r="C183" t="s">
        <v>508</v>
      </c>
      <c r="D183">
        <v>2.66</v>
      </c>
      <c r="E183" s="3">
        <f t="shared" si="7"/>
        <v>22610</v>
      </c>
      <c r="F183" t="s">
        <v>381</v>
      </c>
      <c r="G183">
        <v>3.61</v>
      </c>
      <c r="H183" s="3">
        <f t="shared" si="8"/>
        <v>0</v>
      </c>
      <c r="I183" t="s">
        <v>383</v>
      </c>
      <c r="J183" t="s">
        <v>383</v>
      </c>
      <c r="K183" t="s">
        <v>383</v>
      </c>
    </row>
    <row r="184" spans="1:11">
      <c r="A184" t="s">
        <v>186</v>
      </c>
      <c r="B184" t="s">
        <v>201</v>
      </c>
      <c r="C184" t="s">
        <v>511</v>
      </c>
      <c r="D184">
        <v>2.66</v>
      </c>
      <c r="E184" s="3">
        <f t="shared" si="7"/>
        <v>13300</v>
      </c>
      <c r="F184" t="s">
        <v>381</v>
      </c>
      <c r="G184">
        <v>3.61</v>
      </c>
      <c r="H184" s="3">
        <f t="shared" si="8"/>
        <v>0</v>
      </c>
      <c r="I184" t="s">
        <v>383</v>
      </c>
      <c r="J184" t="s">
        <v>383</v>
      </c>
      <c r="K184" t="s">
        <v>383</v>
      </c>
    </row>
    <row r="185" spans="1:11">
      <c r="A185" t="s">
        <v>186</v>
      </c>
      <c r="B185" t="s">
        <v>202</v>
      </c>
      <c r="C185" t="s">
        <v>479</v>
      </c>
      <c r="D185">
        <v>2.66</v>
      </c>
      <c r="E185" s="3">
        <f t="shared" si="7"/>
        <v>26600</v>
      </c>
      <c r="F185" t="s">
        <v>381</v>
      </c>
      <c r="G185">
        <v>3.61</v>
      </c>
      <c r="H185" s="3">
        <f t="shared" si="8"/>
        <v>0</v>
      </c>
      <c r="I185" t="s">
        <v>383</v>
      </c>
      <c r="J185" t="s">
        <v>383</v>
      </c>
      <c r="K185" t="s">
        <v>383</v>
      </c>
    </row>
    <row r="186" spans="1:11">
      <c r="A186" t="s">
        <v>186</v>
      </c>
      <c r="B186" t="s">
        <v>203</v>
      </c>
      <c r="C186" t="s">
        <v>512</v>
      </c>
      <c r="D186">
        <v>2.66</v>
      </c>
      <c r="E186" s="3">
        <f t="shared" si="7"/>
        <v>59052</v>
      </c>
      <c r="F186" t="s">
        <v>381</v>
      </c>
      <c r="G186">
        <v>3.61</v>
      </c>
      <c r="H186" s="3">
        <f t="shared" si="8"/>
        <v>0</v>
      </c>
      <c r="I186" t="s">
        <v>383</v>
      </c>
      <c r="J186" t="s">
        <v>383</v>
      </c>
      <c r="K186" t="s">
        <v>383</v>
      </c>
    </row>
    <row r="187" spans="1:11">
      <c r="A187" t="s">
        <v>186</v>
      </c>
      <c r="B187" t="s">
        <v>204</v>
      </c>
      <c r="C187" t="s">
        <v>513</v>
      </c>
      <c r="D187">
        <v>2.66</v>
      </c>
      <c r="E187" s="3">
        <f t="shared" si="7"/>
        <v>23275</v>
      </c>
      <c r="F187" t="s">
        <v>381</v>
      </c>
      <c r="G187">
        <v>3.61</v>
      </c>
      <c r="H187" s="3">
        <f t="shared" si="8"/>
        <v>0</v>
      </c>
      <c r="I187" t="s">
        <v>383</v>
      </c>
      <c r="J187" t="s">
        <v>383</v>
      </c>
      <c r="K187" t="s">
        <v>383</v>
      </c>
    </row>
    <row r="188" spans="1:11">
      <c r="A188" t="s">
        <v>186</v>
      </c>
      <c r="B188" t="s">
        <v>205</v>
      </c>
      <c r="C188" t="s">
        <v>385</v>
      </c>
      <c r="D188">
        <v>2.66</v>
      </c>
      <c r="E188" s="3">
        <f t="shared" si="7"/>
        <v>45220</v>
      </c>
      <c r="F188" t="s">
        <v>381</v>
      </c>
      <c r="G188">
        <v>3.61</v>
      </c>
      <c r="H188" s="3">
        <f t="shared" si="8"/>
        <v>0</v>
      </c>
      <c r="I188" t="s">
        <v>383</v>
      </c>
      <c r="J188" t="s">
        <v>383</v>
      </c>
      <c r="K188" t="s">
        <v>383</v>
      </c>
    </row>
    <row r="189" spans="1:11">
      <c r="A189" t="s">
        <v>186</v>
      </c>
      <c r="B189" t="s">
        <v>206</v>
      </c>
      <c r="C189" t="s">
        <v>514</v>
      </c>
      <c r="D189">
        <v>2.66</v>
      </c>
      <c r="E189" s="3">
        <f t="shared" si="7"/>
        <v>158270</v>
      </c>
      <c r="F189" t="s">
        <v>381</v>
      </c>
      <c r="G189">
        <v>3.61</v>
      </c>
      <c r="H189" s="3">
        <f t="shared" si="8"/>
        <v>0</v>
      </c>
      <c r="I189" t="s">
        <v>383</v>
      </c>
      <c r="J189" t="s">
        <v>383</v>
      </c>
      <c r="K189" t="s">
        <v>383</v>
      </c>
    </row>
    <row r="190" spans="1:11">
      <c r="A190" t="s">
        <v>186</v>
      </c>
      <c r="B190" t="s">
        <v>207</v>
      </c>
      <c r="C190" t="s">
        <v>515</v>
      </c>
      <c r="D190">
        <v>2.66</v>
      </c>
      <c r="E190" s="3">
        <f t="shared" si="7"/>
        <v>65569</v>
      </c>
      <c r="F190" t="s">
        <v>381</v>
      </c>
      <c r="G190">
        <v>3.61</v>
      </c>
      <c r="H190" s="3">
        <f t="shared" si="8"/>
        <v>0</v>
      </c>
      <c r="I190" t="s">
        <v>383</v>
      </c>
      <c r="J190" t="s">
        <v>383</v>
      </c>
      <c r="K190" t="s">
        <v>383</v>
      </c>
    </row>
    <row r="191" spans="1:11">
      <c r="A191" t="s">
        <v>186</v>
      </c>
      <c r="B191" t="s">
        <v>208</v>
      </c>
      <c r="C191" t="s">
        <v>381</v>
      </c>
      <c r="D191">
        <v>2.66</v>
      </c>
      <c r="E191" s="3">
        <f t="shared" si="7"/>
        <v>0</v>
      </c>
      <c r="F191" t="s">
        <v>516</v>
      </c>
      <c r="G191">
        <v>3.61</v>
      </c>
      <c r="H191" s="3">
        <f t="shared" si="8"/>
        <v>587587.787</v>
      </c>
      <c r="I191" t="s">
        <v>383</v>
      </c>
      <c r="J191" t="s">
        <v>383</v>
      </c>
      <c r="K191" t="s">
        <v>383</v>
      </c>
    </row>
    <row r="192" spans="1:11">
      <c r="A192" t="s">
        <v>186</v>
      </c>
      <c r="B192" t="s">
        <v>209</v>
      </c>
      <c r="C192" t="s">
        <v>517</v>
      </c>
      <c r="D192">
        <v>2.66</v>
      </c>
      <c r="E192" s="3">
        <f t="shared" si="7"/>
        <v>164920</v>
      </c>
      <c r="F192" t="s">
        <v>381</v>
      </c>
      <c r="G192">
        <v>3.61</v>
      </c>
      <c r="H192" s="3">
        <f t="shared" si="8"/>
        <v>0</v>
      </c>
      <c r="I192" t="s">
        <v>383</v>
      </c>
      <c r="J192" t="s">
        <v>383</v>
      </c>
      <c r="K192" t="s">
        <v>383</v>
      </c>
    </row>
    <row r="193" spans="1:11">
      <c r="A193" t="s">
        <v>186</v>
      </c>
      <c r="B193" t="s">
        <v>209</v>
      </c>
      <c r="C193" t="s">
        <v>402</v>
      </c>
      <c r="D193">
        <v>2.66</v>
      </c>
      <c r="E193" s="3">
        <f t="shared" si="7"/>
        <v>23.142</v>
      </c>
      <c r="F193" t="s">
        <v>381</v>
      </c>
      <c r="G193">
        <v>3.61</v>
      </c>
      <c r="H193" s="3">
        <f t="shared" si="8"/>
        <v>0</v>
      </c>
      <c r="I193" t="s">
        <v>383</v>
      </c>
      <c r="J193" t="s">
        <v>383</v>
      </c>
      <c r="K193" t="s">
        <v>383</v>
      </c>
    </row>
    <row r="194" spans="1:11">
      <c r="A194" t="s">
        <v>186</v>
      </c>
      <c r="B194" t="s">
        <v>209</v>
      </c>
      <c r="C194" t="s">
        <v>403</v>
      </c>
      <c r="D194">
        <v>2.66</v>
      </c>
      <c r="E194" s="3">
        <f t="shared" si="7"/>
        <v>3.458</v>
      </c>
      <c r="F194" t="s">
        <v>381</v>
      </c>
      <c r="G194">
        <v>3.61</v>
      </c>
      <c r="H194" s="3">
        <f t="shared" si="8"/>
        <v>0</v>
      </c>
      <c r="I194" t="s">
        <v>383</v>
      </c>
      <c r="J194" t="s">
        <v>383</v>
      </c>
      <c r="K194" t="s">
        <v>383</v>
      </c>
    </row>
    <row r="195" spans="1:11">
      <c r="A195" t="s">
        <v>186</v>
      </c>
      <c r="B195" t="s">
        <v>210</v>
      </c>
      <c r="C195" t="s">
        <v>381</v>
      </c>
      <c r="D195">
        <v>2.66</v>
      </c>
      <c r="E195" s="3">
        <f t="shared" si="7"/>
        <v>0</v>
      </c>
      <c r="F195" t="s">
        <v>426</v>
      </c>
      <c r="G195">
        <v>3.61</v>
      </c>
      <c r="H195" s="3">
        <f t="shared" si="8"/>
        <v>3927.7161</v>
      </c>
      <c r="I195" t="s">
        <v>383</v>
      </c>
      <c r="J195" t="s">
        <v>383</v>
      </c>
      <c r="K195" t="s">
        <v>383</v>
      </c>
    </row>
    <row r="196" spans="1:11">
      <c r="A196" t="s">
        <v>211</v>
      </c>
      <c r="B196" t="s">
        <v>212</v>
      </c>
      <c r="C196" t="s">
        <v>518</v>
      </c>
      <c r="D196">
        <v>2.66</v>
      </c>
      <c r="E196" s="3">
        <f t="shared" si="7"/>
        <v>266000</v>
      </c>
      <c r="F196" t="s">
        <v>381</v>
      </c>
      <c r="G196">
        <v>3.61</v>
      </c>
      <c r="H196" s="3">
        <f t="shared" si="8"/>
        <v>0</v>
      </c>
      <c r="I196" t="s">
        <v>383</v>
      </c>
      <c r="J196" t="s">
        <v>383</v>
      </c>
      <c r="K196" t="s">
        <v>383</v>
      </c>
    </row>
    <row r="197" spans="1:11">
      <c r="A197" t="s">
        <v>213</v>
      </c>
      <c r="B197" t="s">
        <v>214</v>
      </c>
      <c r="C197" t="s">
        <v>381</v>
      </c>
      <c r="D197">
        <v>2.66</v>
      </c>
      <c r="E197" s="3">
        <f t="shared" si="7"/>
        <v>0</v>
      </c>
      <c r="F197" t="s">
        <v>519</v>
      </c>
      <c r="G197">
        <v>3.61</v>
      </c>
      <c r="H197" s="3">
        <f t="shared" si="8"/>
        <v>925186.0703</v>
      </c>
      <c r="I197" t="s">
        <v>383</v>
      </c>
      <c r="J197" t="s">
        <v>383</v>
      </c>
      <c r="K197" t="s">
        <v>383</v>
      </c>
    </row>
    <row r="198" spans="1:11">
      <c r="A198" t="s">
        <v>213</v>
      </c>
      <c r="B198" t="s">
        <v>215</v>
      </c>
      <c r="C198" t="s">
        <v>381</v>
      </c>
      <c r="D198">
        <v>2.66</v>
      </c>
      <c r="E198" s="3">
        <f t="shared" si="7"/>
        <v>0</v>
      </c>
      <c r="F198" t="s">
        <v>520</v>
      </c>
      <c r="G198">
        <v>3.61</v>
      </c>
      <c r="H198" s="3">
        <f t="shared" si="8"/>
        <v>702135.3974</v>
      </c>
      <c r="I198" t="s">
        <v>383</v>
      </c>
      <c r="J198" t="s">
        <v>383</v>
      </c>
      <c r="K198" t="s">
        <v>383</v>
      </c>
    </row>
    <row r="199" spans="1:11">
      <c r="A199" t="s">
        <v>213</v>
      </c>
      <c r="B199" t="s">
        <v>216</v>
      </c>
      <c r="C199" t="s">
        <v>521</v>
      </c>
      <c r="D199">
        <v>2.66</v>
      </c>
      <c r="E199" s="3">
        <f t="shared" si="7"/>
        <v>172900</v>
      </c>
      <c r="F199" t="s">
        <v>381</v>
      </c>
      <c r="G199">
        <v>3.61</v>
      </c>
      <c r="H199" s="3">
        <f t="shared" si="8"/>
        <v>0</v>
      </c>
      <c r="I199" t="s">
        <v>383</v>
      </c>
      <c r="J199" t="s">
        <v>383</v>
      </c>
      <c r="K199" t="s">
        <v>383</v>
      </c>
    </row>
    <row r="200" spans="1:11">
      <c r="A200" t="s">
        <v>213</v>
      </c>
      <c r="B200" t="s">
        <v>217</v>
      </c>
      <c r="C200" t="s">
        <v>381</v>
      </c>
      <c r="D200">
        <v>2.66</v>
      </c>
      <c r="E200" s="3">
        <f t="shared" si="7"/>
        <v>0</v>
      </c>
      <c r="F200" t="s">
        <v>522</v>
      </c>
      <c r="G200">
        <v>3.61</v>
      </c>
      <c r="H200" s="3">
        <f t="shared" si="8"/>
        <v>111724.0489</v>
      </c>
      <c r="I200" t="s">
        <v>383</v>
      </c>
      <c r="J200" t="s">
        <v>383</v>
      </c>
      <c r="K200" t="s">
        <v>383</v>
      </c>
    </row>
    <row r="201" spans="1:11">
      <c r="A201" t="s">
        <v>213</v>
      </c>
      <c r="B201" t="s">
        <v>218</v>
      </c>
      <c r="C201" t="s">
        <v>381</v>
      </c>
      <c r="D201">
        <v>2.66</v>
      </c>
      <c r="E201" s="3">
        <f t="shared" si="7"/>
        <v>0</v>
      </c>
      <c r="F201" t="s">
        <v>433</v>
      </c>
      <c r="G201">
        <v>3.61</v>
      </c>
      <c r="H201" s="3">
        <f t="shared" si="8"/>
        <v>227.3939</v>
      </c>
      <c r="I201" t="s">
        <v>383</v>
      </c>
      <c r="J201" t="s">
        <v>383</v>
      </c>
      <c r="K201" t="s">
        <v>383</v>
      </c>
    </row>
    <row r="202" spans="1:11">
      <c r="A202" t="s">
        <v>213</v>
      </c>
      <c r="B202" t="s">
        <v>219</v>
      </c>
      <c r="C202" t="s">
        <v>381</v>
      </c>
      <c r="D202">
        <v>2.66</v>
      </c>
      <c r="E202" s="3">
        <f t="shared" si="7"/>
        <v>0</v>
      </c>
      <c r="F202" t="s">
        <v>523</v>
      </c>
      <c r="G202">
        <v>3.61</v>
      </c>
      <c r="H202" s="3">
        <f t="shared" si="8"/>
        <v>36432.3366</v>
      </c>
      <c r="I202" t="s">
        <v>383</v>
      </c>
      <c r="J202" t="s">
        <v>383</v>
      </c>
      <c r="K202" t="s">
        <v>383</v>
      </c>
    </row>
    <row r="203" spans="1:11">
      <c r="A203" t="s">
        <v>213</v>
      </c>
      <c r="B203" t="s">
        <v>220</v>
      </c>
      <c r="C203" t="s">
        <v>524</v>
      </c>
      <c r="D203">
        <v>2.66</v>
      </c>
      <c r="E203" s="3">
        <f t="shared" si="7"/>
        <v>103740</v>
      </c>
      <c r="F203" t="s">
        <v>381</v>
      </c>
      <c r="G203">
        <v>3.61</v>
      </c>
      <c r="H203" s="3">
        <f t="shared" si="8"/>
        <v>0</v>
      </c>
      <c r="I203" t="s">
        <v>383</v>
      </c>
      <c r="J203" t="s">
        <v>383</v>
      </c>
      <c r="K203" t="s">
        <v>383</v>
      </c>
    </row>
    <row r="204" spans="1:11">
      <c r="A204" t="s">
        <v>213</v>
      </c>
      <c r="B204" t="s">
        <v>221</v>
      </c>
      <c r="C204" t="s">
        <v>525</v>
      </c>
      <c r="D204">
        <v>2.66</v>
      </c>
      <c r="E204" s="3">
        <f t="shared" si="7"/>
        <v>1489195.68</v>
      </c>
      <c r="F204" t="s">
        <v>381</v>
      </c>
      <c r="G204">
        <v>3.61</v>
      </c>
      <c r="H204" s="3">
        <f t="shared" si="8"/>
        <v>0</v>
      </c>
      <c r="I204" t="s">
        <v>383</v>
      </c>
      <c r="J204" t="s">
        <v>383</v>
      </c>
      <c r="K204" t="s">
        <v>383</v>
      </c>
    </row>
    <row r="205" spans="1:11">
      <c r="A205" t="s">
        <v>222</v>
      </c>
      <c r="B205" t="s">
        <v>223</v>
      </c>
      <c r="C205" t="s">
        <v>381</v>
      </c>
      <c r="D205">
        <v>2.66</v>
      </c>
      <c r="E205" s="3">
        <f t="shared" si="7"/>
        <v>0</v>
      </c>
      <c r="F205" t="s">
        <v>526</v>
      </c>
      <c r="G205">
        <v>3.61</v>
      </c>
      <c r="H205" s="3">
        <f t="shared" si="8"/>
        <v>970878.8872</v>
      </c>
      <c r="I205" t="s">
        <v>383</v>
      </c>
      <c r="J205" t="s">
        <v>383</v>
      </c>
      <c r="K205" t="s">
        <v>383</v>
      </c>
    </row>
    <row r="206" spans="1:11">
      <c r="A206" t="s">
        <v>222</v>
      </c>
      <c r="B206" t="s">
        <v>224</v>
      </c>
      <c r="C206" t="s">
        <v>381</v>
      </c>
      <c r="D206">
        <v>2.66</v>
      </c>
      <c r="E206" s="3">
        <f t="shared" si="7"/>
        <v>0</v>
      </c>
      <c r="F206" t="s">
        <v>527</v>
      </c>
      <c r="G206">
        <v>3.61</v>
      </c>
      <c r="H206" s="3">
        <f t="shared" si="8"/>
        <v>37515.2283</v>
      </c>
      <c r="I206" t="s">
        <v>383</v>
      </c>
      <c r="J206" t="s">
        <v>383</v>
      </c>
      <c r="K206" t="s">
        <v>383</v>
      </c>
    </row>
    <row r="207" spans="1:11">
      <c r="A207" t="s">
        <v>225</v>
      </c>
      <c r="B207" t="s">
        <v>226</v>
      </c>
      <c r="C207" t="s">
        <v>381</v>
      </c>
      <c r="D207">
        <v>2.66</v>
      </c>
      <c r="E207" s="3">
        <f t="shared" si="7"/>
        <v>0</v>
      </c>
      <c r="F207" t="s">
        <v>528</v>
      </c>
      <c r="G207">
        <v>3.61</v>
      </c>
      <c r="H207" s="3">
        <f t="shared" si="8"/>
        <v>764046.4642</v>
      </c>
      <c r="I207" t="s">
        <v>383</v>
      </c>
      <c r="J207" t="s">
        <v>383</v>
      </c>
      <c r="K207" t="s">
        <v>383</v>
      </c>
    </row>
    <row r="208" spans="1:11">
      <c r="A208" t="s">
        <v>227</v>
      </c>
      <c r="B208" t="s">
        <v>228</v>
      </c>
      <c r="C208" t="s">
        <v>381</v>
      </c>
      <c r="D208">
        <v>2.66</v>
      </c>
      <c r="E208" s="3">
        <f t="shared" si="7"/>
        <v>0</v>
      </c>
      <c r="F208" t="s">
        <v>529</v>
      </c>
      <c r="G208">
        <v>3.61</v>
      </c>
      <c r="H208" s="3">
        <f t="shared" si="8"/>
        <v>762751.9543</v>
      </c>
      <c r="I208" t="s">
        <v>383</v>
      </c>
      <c r="J208" t="s">
        <v>383</v>
      </c>
      <c r="K208" t="s">
        <v>383</v>
      </c>
    </row>
    <row r="209" spans="1:11">
      <c r="A209" t="s">
        <v>227</v>
      </c>
      <c r="B209" t="s">
        <v>229</v>
      </c>
      <c r="C209" t="s">
        <v>381</v>
      </c>
      <c r="D209">
        <v>2.66</v>
      </c>
      <c r="E209" s="3">
        <f t="shared" si="7"/>
        <v>0</v>
      </c>
      <c r="F209" t="s">
        <v>498</v>
      </c>
      <c r="G209">
        <v>3.61</v>
      </c>
      <c r="H209" s="3">
        <f t="shared" si="8"/>
        <v>7501.6161</v>
      </c>
      <c r="I209" t="s">
        <v>383</v>
      </c>
      <c r="J209" t="s">
        <v>383</v>
      </c>
      <c r="K209" t="s">
        <v>383</v>
      </c>
    </row>
    <row r="210" spans="1:11">
      <c r="A210" t="s">
        <v>230</v>
      </c>
      <c r="B210" t="s">
        <v>231</v>
      </c>
      <c r="C210" t="s">
        <v>381</v>
      </c>
      <c r="D210">
        <v>2.66</v>
      </c>
      <c r="E210" s="3">
        <f t="shared" si="7"/>
        <v>0</v>
      </c>
      <c r="F210" t="s">
        <v>530</v>
      </c>
      <c r="G210">
        <v>3.61</v>
      </c>
      <c r="H210" s="3">
        <f t="shared" si="8"/>
        <v>701527.7622</v>
      </c>
      <c r="I210" t="s">
        <v>383</v>
      </c>
      <c r="J210" t="s">
        <v>383</v>
      </c>
      <c r="K210" t="s">
        <v>383</v>
      </c>
    </row>
    <row r="211" spans="1:11">
      <c r="A211" t="s">
        <v>230</v>
      </c>
      <c r="B211" t="s">
        <v>232</v>
      </c>
      <c r="C211" t="s">
        <v>392</v>
      </c>
      <c r="D211">
        <v>2.66</v>
      </c>
      <c r="E211" s="3">
        <f t="shared" si="7"/>
        <v>89110</v>
      </c>
      <c r="F211" t="s">
        <v>381</v>
      </c>
      <c r="G211">
        <v>3.61</v>
      </c>
      <c r="H211" s="3">
        <f t="shared" si="8"/>
        <v>0</v>
      </c>
      <c r="I211" t="s">
        <v>383</v>
      </c>
      <c r="J211" t="s">
        <v>383</v>
      </c>
      <c r="K211" t="s">
        <v>383</v>
      </c>
    </row>
    <row r="212" spans="1:11">
      <c r="A212" t="s">
        <v>230</v>
      </c>
      <c r="B212" t="s">
        <v>233</v>
      </c>
      <c r="C212" t="s">
        <v>395</v>
      </c>
      <c r="D212">
        <v>2.66</v>
      </c>
      <c r="E212" s="3">
        <f t="shared" si="7"/>
        <v>66500</v>
      </c>
      <c r="F212" t="s">
        <v>381</v>
      </c>
      <c r="G212">
        <v>3.61</v>
      </c>
      <c r="H212" s="3">
        <f t="shared" si="8"/>
        <v>0</v>
      </c>
      <c r="I212" t="s">
        <v>383</v>
      </c>
      <c r="J212" t="s">
        <v>383</v>
      </c>
      <c r="K212" t="s">
        <v>383</v>
      </c>
    </row>
    <row r="213" spans="1:11">
      <c r="A213" t="s">
        <v>230</v>
      </c>
      <c r="B213" t="s">
        <v>234</v>
      </c>
      <c r="C213" t="s">
        <v>531</v>
      </c>
      <c r="D213">
        <v>2.66</v>
      </c>
      <c r="E213" s="3">
        <f t="shared" si="7"/>
        <v>1041299.56</v>
      </c>
      <c r="F213" t="s">
        <v>381</v>
      </c>
      <c r="G213">
        <v>3.61</v>
      </c>
      <c r="H213" s="3">
        <f t="shared" si="8"/>
        <v>0</v>
      </c>
      <c r="I213" t="s">
        <v>383</v>
      </c>
      <c r="J213" t="s">
        <v>383</v>
      </c>
      <c r="K213" t="s">
        <v>383</v>
      </c>
    </row>
    <row r="214" spans="1:11">
      <c r="A214" t="s">
        <v>230</v>
      </c>
      <c r="B214" t="s">
        <v>235</v>
      </c>
      <c r="C214" t="s">
        <v>532</v>
      </c>
      <c r="D214">
        <v>2.66</v>
      </c>
      <c r="E214" s="3">
        <f t="shared" si="7"/>
        <v>2660000</v>
      </c>
      <c r="F214" t="s">
        <v>381</v>
      </c>
      <c r="G214">
        <v>3.61</v>
      </c>
      <c r="H214" s="3">
        <f t="shared" si="8"/>
        <v>0</v>
      </c>
      <c r="I214" t="s">
        <v>383</v>
      </c>
      <c r="J214" t="s">
        <v>383</v>
      </c>
      <c r="K214" t="s">
        <v>383</v>
      </c>
    </row>
    <row r="215" spans="1:11">
      <c r="A215" t="s">
        <v>230</v>
      </c>
      <c r="B215" t="s">
        <v>236</v>
      </c>
      <c r="C215" t="s">
        <v>381</v>
      </c>
      <c r="D215">
        <v>2.66</v>
      </c>
      <c r="E215" s="3">
        <f t="shared" si="7"/>
        <v>0</v>
      </c>
      <c r="F215" t="s">
        <v>408</v>
      </c>
      <c r="G215">
        <v>3.61</v>
      </c>
      <c r="H215" s="3">
        <f t="shared" si="8"/>
        <v>1783.3761</v>
      </c>
      <c r="I215" t="s">
        <v>383</v>
      </c>
      <c r="J215" t="s">
        <v>383</v>
      </c>
      <c r="K215" t="s">
        <v>383</v>
      </c>
    </row>
    <row r="216" spans="1:11">
      <c r="A216" t="s">
        <v>230</v>
      </c>
      <c r="B216" t="s">
        <v>237</v>
      </c>
      <c r="C216" t="s">
        <v>381</v>
      </c>
      <c r="D216">
        <v>2.66</v>
      </c>
      <c r="E216" s="3">
        <f t="shared" si="7"/>
        <v>0</v>
      </c>
      <c r="F216" t="s">
        <v>399</v>
      </c>
      <c r="G216">
        <v>3.61</v>
      </c>
      <c r="H216" s="3">
        <f t="shared" si="8"/>
        <v>162.4139</v>
      </c>
      <c r="I216" t="s">
        <v>383</v>
      </c>
      <c r="J216" t="s">
        <v>383</v>
      </c>
      <c r="K216" t="s">
        <v>383</v>
      </c>
    </row>
    <row r="217" spans="1:11">
      <c r="A217" t="s">
        <v>230</v>
      </c>
      <c r="B217" t="s">
        <v>238</v>
      </c>
      <c r="C217" t="s">
        <v>533</v>
      </c>
      <c r="D217">
        <v>2.66</v>
      </c>
      <c r="E217" s="3">
        <f t="shared" si="7"/>
        <v>35112</v>
      </c>
      <c r="F217" t="s">
        <v>381</v>
      </c>
      <c r="G217">
        <v>3.61</v>
      </c>
      <c r="H217" s="3">
        <f t="shared" si="8"/>
        <v>0</v>
      </c>
      <c r="I217" t="s">
        <v>383</v>
      </c>
      <c r="J217" t="s">
        <v>383</v>
      </c>
      <c r="K217" t="s">
        <v>383</v>
      </c>
    </row>
    <row r="218" spans="1:11">
      <c r="A218" t="s">
        <v>230</v>
      </c>
      <c r="B218" t="s">
        <v>238</v>
      </c>
      <c r="C218" t="s">
        <v>402</v>
      </c>
      <c r="D218">
        <v>2.66</v>
      </c>
      <c r="E218" s="3">
        <f t="shared" si="7"/>
        <v>23.142</v>
      </c>
      <c r="F218" t="s">
        <v>381</v>
      </c>
      <c r="G218">
        <v>3.61</v>
      </c>
      <c r="H218" s="3">
        <f t="shared" si="8"/>
        <v>0</v>
      </c>
      <c r="I218" t="s">
        <v>383</v>
      </c>
      <c r="J218" t="s">
        <v>383</v>
      </c>
      <c r="K218" t="s">
        <v>383</v>
      </c>
    </row>
    <row r="219" spans="1:11">
      <c r="A219" t="s">
        <v>230</v>
      </c>
      <c r="B219" t="s">
        <v>238</v>
      </c>
      <c r="C219" t="s">
        <v>403</v>
      </c>
      <c r="D219">
        <v>2.66</v>
      </c>
      <c r="E219" s="3">
        <f t="shared" si="7"/>
        <v>3.458</v>
      </c>
      <c r="F219" t="s">
        <v>381</v>
      </c>
      <c r="G219">
        <v>3.61</v>
      </c>
      <c r="H219" s="3">
        <f t="shared" si="8"/>
        <v>0</v>
      </c>
      <c r="I219" t="s">
        <v>383</v>
      </c>
      <c r="J219" t="s">
        <v>383</v>
      </c>
      <c r="K219" t="s">
        <v>383</v>
      </c>
    </row>
    <row r="220" spans="1:11">
      <c r="A220" t="s">
        <v>239</v>
      </c>
      <c r="B220" t="s">
        <v>240</v>
      </c>
      <c r="C220" t="s">
        <v>381</v>
      </c>
      <c r="D220">
        <v>2.66</v>
      </c>
      <c r="E220" s="3">
        <f t="shared" si="7"/>
        <v>0</v>
      </c>
      <c r="F220" t="s">
        <v>534</v>
      </c>
      <c r="G220">
        <v>3.61</v>
      </c>
      <c r="H220" s="3">
        <f t="shared" si="8"/>
        <v>370297.1579</v>
      </c>
      <c r="I220" t="s">
        <v>383</v>
      </c>
      <c r="J220" t="s">
        <v>383</v>
      </c>
      <c r="K220" t="s">
        <v>383</v>
      </c>
    </row>
    <row r="221" spans="1:11">
      <c r="A221" t="s">
        <v>239</v>
      </c>
      <c r="B221" t="s">
        <v>241</v>
      </c>
      <c r="C221" t="s">
        <v>381</v>
      </c>
      <c r="D221">
        <v>2.66</v>
      </c>
      <c r="E221" s="3">
        <f t="shared" si="7"/>
        <v>0</v>
      </c>
      <c r="F221" t="s">
        <v>535</v>
      </c>
      <c r="G221">
        <v>3.61</v>
      </c>
      <c r="H221" s="3">
        <f t="shared" si="8"/>
        <v>705104.9112</v>
      </c>
      <c r="I221" t="s">
        <v>383</v>
      </c>
      <c r="J221" t="s">
        <v>383</v>
      </c>
      <c r="K221" t="s">
        <v>383</v>
      </c>
    </row>
    <row r="222" spans="1:11">
      <c r="A222" t="s">
        <v>239</v>
      </c>
      <c r="B222" t="s">
        <v>242</v>
      </c>
      <c r="C222" t="s">
        <v>381</v>
      </c>
      <c r="D222">
        <v>2.66</v>
      </c>
      <c r="E222" s="3">
        <f t="shared" si="7"/>
        <v>0</v>
      </c>
      <c r="F222" t="s">
        <v>536</v>
      </c>
      <c r="G222">
        <v>3.61</v>
      </c>
      <c r="H222" s="3">
        <f t="shared" si="8"/>
        <v>2347149.8</v>
      </c>
      <c r="I222" t="s">
        <v>383</v>
      </c>
      <c r="J222" t="s">
        <v>383</v>
      </c>
      <c r="K222" t="s">
        <v>383</v>
      </c>
    </row>
    <row r="223" spans="1:11">
      <c r="A223" t="s">
        <v>239</v>
      </c>
      <c r="B223" t="s">
        <v>243</v>
      </c>
      <c r="C223" t="s">
        <v>381</v>
      </c>
      <c r="D223">
        <v>2.66</v>
      </c>
      <c r="E223" s="3">
        <f t="shared" si="7"/>
        <v>0</v>
      </c>
      <c r="F223" t="s">
        <v>537</v>
      </c>
      <c r="G223">
        <v>3.61</v>
      </c>
      <c r="H223" s="3">
        <f t="shared" si="8"/>
        <v>2836485.3</v>
      </c>
      <c r="I223" t="s">
        <v>383</v>
      </c>
      <c r="J223" t="s">
        <v>383</v>
      </c>
      <c r="K223" t="s">
        <v>383</v>
      </c>
    </row>
    <row r="224" spans="1:11">
      <c r="A224" t="s">
        <v>239</v>
      </c>
      <c r="B224" t="s">
        <v>244</v>
      </c>
      <c r="C224" t="s">
        <v>538</v>
      </c>
      <c r="D224">
        <v>2.66</v>
      </c>
      <c r="E224" s="3">
        <f t="shared" si="7"/>
        <v>2493750</v>
      </c>
      <c r="F224" t="s">
        <v>381</v>
      </c>
      <c r="G224">
        <v>3.61</v>
      </c>
      <c r="H224" s="3">
        <f t="shared" si="8"/>
        <v>0</v>
      </c>
      <c r="I224" t="s">
        <v>383</v>
      </c>
      <c r="J224" t="s">
        <v>383</v>
      </c>
      <c r="K224" t="s">
        <v>383</v>
      </c>
    </row>
    <row r="225" spans="1:11">
      <c r="A225" t="s">
        <v>239</v>
      </c>
      <c r="B225" t="s">
        <v>245</v>
      </c>
      <c r="C225" t="s">
        <v>381</v>
      </c>
      <c r="D225">
        <v>2.66</v>
      </c>
      <c r="E225" s="3">
        <f t="shared" si="7"/>
        <v>0</v>
      </c>
      <c r="F225" t="s">
        <v>399</v>
      </c>
      <c r="G225">
        <v>3.61</v>
      </c>
      <c r="H225" s="3">
        <f t="shared" si="8"/>
        <v>162.4139</v>
      </c>
      <c r="I225" t="s">
        <v>383</v>
      </c>
      <c r="J225" t="s">
        <v>383</v>
      </c>
      <c r="K225" t="s">
        <v>383</v>
      </c>
    </row>
    <row r="226" spans="1:11">
      <c r="A226" t="s">
        <v>239</v>
      </c>
      <c r="B226" t="s">
        <v>246</v>
      </c>
      <c r="C226" t="s">
        <v>539</v>
      </c>
      <c r="D226">
        <v>2.66</v>
      </c>
      <c r="E226" s="3">
        <f t="shared" si="7"/>
        <v>798000</v>
      </c>
      <c r="F226" t="s">
        <v>381</v>
      </c>
      <c r="G226">
        <v>3.61</v>
      </c>
      <c r="H226" s="3">
        <f t="shared" si="8"/>
        <v>0</v>
      </c>
      <c r="I226" t="s">
        <v>383</v>
      </c>
      <c r="J226" t="s">
        <v>383</v>
      </c>
      <c r="K226" t="s">
        <v>383</v>
      </c>
    </row>
    <row r="227" spans="1:11">
      <c r="A227" t="s">
        <v>247</v>
      </c>
      <c r="B227" t="s">
        <v>248</v>
      </c>
      <c r="C227" t="s">
        <v>508</v>
      </c>
      <c r="D227">
        <v>2.66</v>
      </c>
      <c r="E227" s="3">
        <f t="shared" si="7"/>
        <v>22610</v>
      </c>
      <c r="F227" t="s">
        <v>381</v>
      </c>
      <c r="G227">
        <v>3.61</v>
      </c>
      <c r="H227" s="3">
        <f t="shared" si="8"/>
        <v>0</v>
      </c>
      <c r="I227" t="s">
        <v>383</v>
      </c>
      <c r="J227" t="s">
        <v>383</v>
      </c>
      <c r="K227" t="s">
        <v>383</v>
      </c>
    </row>
    <row r="228" spans="1:11">
      <c r="A228" t="s">
        <v>247</v>
      </c>
      <c r="B228" t="s">
        <v>249</v>
      </c>
      <c r="C228" t="s">
        <v>510</v>
      </c>
      <c r="D228">
        <v>2.66</v>
      </c>
      <c r="E228" s="3">
        <f t="shared" si="7"/>
        <v>15960</v>
      </c>
      <c r="F228" t="s">
        <v>381</v>
      </c>
      <c r="G228">
        <v>3.61</v>
      </c>
      <c r="H228" s="3">
        <f t="shared" si="8"/>
        <v>0</v>
      </c>
      <c r="I228" t="s">
        <v>383</v>
      </c>
      <c r="J228" t="s">
        <v>383</v>
      </c>
      <c r="K228" t="s">
        <v>383</v>
      </c>
    </row>
    <row r="229" spans="1:11">
      <c r="A229" t="s">
        <v>247</v>
      </c>
      <c r="B229" t="s">
        <v>250</v>
      </c>
      <c r="C229" t="s">
        <v>509</v>
      </c>
      <c r="D229">
        <v>2.66</v>
      </c>
      <c r="E229" s="3">
        <f t="shared" si="7"/>
        <v>319200</v>
      </c>
      <c r="F229" t="s">
        <v>381</v>
      </c>
      <c r="G229">
        <v>3.61</v>
      </c>
      <c r="H229" s="3">
        <f t="shared" si="8"/>
        <v>0</v>
      </c>
      <c r="I229" t="s">
        <v>383</v>
      </c>
      <c r="J229" t="s">
        <v>383</v>
      </c>
      <c r="K229" t="s">
        <v>383</v>
      </c>
    </row>
    <row r="230" spans="1:11">
      <c r="A230" t="s">
        <v>247</v>
      </c>
      <c r="B230" t="s">
        <v>251</v>
      </c>
      <c r="C230" t="s">
        <v>509</v>
      </c>
      <c r="D230">
        <v>2.66</v>
      </c>
      <c r="E230" s="3">
        <f t="shared" si="7"/>
        <v>319200</v>
      </c>
      <c r="F230" t="s">
        <v>381</v>
      </c>
      <c r="G230">
        <v>3.61</v>
      </c>
      <c r="H230" s="3">
        <f t="shared" si="8"/>
        <v>0</v>
      </c>
      <c r="I230" t="s">
        <v>383</v>
      </c>
      <c r="J230" t="s">
        <v>383</v>
      </c>
      <c r="K230" t="s">
        <v>383</v>
      </c>
    </row>
    <row r="231" spans="1:11">
      <c r="A231" t="s">
        <v>247</v>
      </c>
      <c r="B231" t="s">
        <v>252</v>
      </c>
      <c r="C231" t="s">
        <v>479</v>
      </c>
      <c r="D231">
        <v>2.66</v>
      </c>
      <c r="E231" s="3">
        <f t="shared" si="7"/>
        <v>26600</v>
      </c>
      <c r="F231" t="s">
        <v>381</v>
      </c>
      <c r="G231">
        <v>3.61</v>
      </c>
      <c r="H231" s="3">
        <f t="shared" si="8"/>
        <v>0</v>
      </c>
      <c r="I231" t="s">
        <v>383</v>
      </c>
      <c r="J231" t="s">
        <v>383</v>
      </c>
      <c r="K231" t="s">
        <v>383</v>
      </c>
    </row>
    <row r="232" spans="1:11">
      <c r="A232" t="s">
        <v>247</v>
      </c>
      <c r="B232" t="s">
        <v>253</v>
      </c>
      <c r="C232" t="s">
        <v>512</v>
      </c>
      <c r="D232">
        <v>2.66</v>
      </c>
      <c r="E232" s="3">
        <f t="shared" si="7"/>
        <v>59052</v>
      </c>
      <c r="F232" t="s">
        <v>381</v>
      </c>
      <c r="G232">
        <v>3.61</v>
      </c>
      <c r="H232" s="3">
        <f t="shared" si="8"/>
        <v>0</v>
      </c>
      <c r="I232" t="s">
        <v>383</v>
      </c>
      <c r="J232" t="s">
        <v>383</v>
      </c>
      <c r="K232" t="s">
        <v>383</v>
      </c>
    </row>
    <row r="233" spans="1:11">
      <c r="A233" t="s">
        <v>247</v>
      </c>
      <c r="B233" t="s">
        <v>254</v>
      </c>
      <c r="C233" t="s">
        <v>513</v>
      </c>
      <c r="D233">
        <v>2.66</v>
      </c>
      <c r="E233" s="3">
        <f t="shared" si="7"/>
        <v>23275</v>
      </c>
      <c r="F233" t="s">
        <v>381</v>
      </c>
      <c r="G233">
        <v>3.61</v>
      </c>
      <c r="H233" s="3">
        <f t="shared" si="8"/>
        <v>0</v>
      </c>
      <c r="I233" t="s">
        <v>383</v>
      </c>
      <c r="J233" t="s">
        <v>383</v>
      </c>
      <c r="K233" t="s">
        <v>383</v>
      </c>
    </row>
    <row r="234" spans="1:11">
      <c r="A234" t="s">
        <v>247</v>
      </c>
      <c r="B234" t="s">
        <v>255</v>
      </c>
      <c r="C234" t="s">
        <v>514</v>
      </c>
      <c r="D234">
        <v>2.66</v>
      </c>
      <c r="E234" s="3">
        <f t="shared" si="7"/>
        <v>158270</v>
      </c>
      <c r="F234" t="s">
        <v>381</v>
      </c>
      <c r="G234">
        <v>3.61</v>
      </c>
      <c r="H234" s="3">
        <f t="shared" si="8"/>
        <v>0</v>
      </c>
      <c r="I234" t="s">
        <v>383</v>
      </c>
      <c r="J234" t="s">
        <v>383</v>
      </c>
      <c r="K234" t="s">
        <v>383</v>
      </c>
    </row>
    <row r="235" spans="1:11">
      <c r="A235" t="s">
        <v>247</v>
      </c>
      <c r="B235" t="s">
        <v>256</v>
      </c>
      <c r="C235" t="s">
        <v>464</v>
      </c>
      <c r="D235">
        <v>2.66</v>
      </c>
      <c r="E235" s="3">
        <f t="shared" si="7"/>
        <v>133000</v>
      </c>
      <c r="F235" t="s">
        <v>381</v>
      </c>
      <c r="G235">
        <v>3.61</v>
      </c>
      <c r="H235" s="3">
        <f t="shared" si="8"/>
        <v>0</v>
      </c>
      <c r="I235" t="s">
        <v>383</v>
      </c>
      <c r="J235" t="s">
        <v>383</v>
      </c>
      <c r="K235" t="s">
        <v>383</v>
      </c>
    </row>
    <row r="236" spans="1:11">
      <c r="A236" t="s">
        <v>247</v>
      </c>
      <c r="B236" t="s">
        <v>257</v>
      </c>
      <c r="C236" t="s">
        <v>464</v>
      </c>
      <c r="D236">
        <v>2.66</v>
      </c>
      <c r="E236" s="3">
        <f t="shared" si="7"/>
        <v>133000</v>
      </c>
      <c r="F236" t="s">
        <v>381</v>
      </c>
      <c r="G236">
        <v>3.61</v>
      </c>
      <c r="H236" s="3">
        <f t="shared" si="8"/>
        <v>0</v>
      </c>
      <c r="I236" t="s">
        <v>383</v>
      </c>
      <c r="J236" t="s">
        <v>383</v>
      </c>
      <c r="K236" t="s">
        <v>383</v>
      </c>
    </row>
    <row r="237" spans="1:11">
      <c r="A237" t="s">
        <v>247</v>
      </c>
      <c r="B237" t="s">
        <v>258</v>
      </c>
      <c r="C237" t="s">
        <v>454</v>
      </c>
      <c r="D237">
        <v>2.66</v>
      </c>
      <c r="E237" s="3">
        <f t="shared" si="7"/>
        <v>78470</v>
      </c>
      <c r="F237" t="s">
        <v>381</v>
      </c>
      <c r="G237">
        <v>3.61</v>
      </c>
      <c r="H237" s="3">
        <f t="shared" si="8"/>
        <v>0</v>
      </c>
      <c r="I237" t="s">
        <v>383</v>
      </c>
      <c r="J237" t="s">
        <v>383</v>
      </c>
      <c r="K237" t="s">
        <v>383</v>
      </c>
    </row>
    <row r="238" spans="1:11">
      <c r="A238" t="s">
        <v>247</v>
      </c>
      <c r="B238" t="s">
        <v>259</v>
      </c>
      <c r="C238" t="s">
        <v>479</v>
      </c>
      <c r="D238">
        <v>2.66</v>
      </c>
      <c r="E238" s="3">
        <f t="shared" si="7"/>
        <v>26600</v>
      </c>
      <c r="F238" t="s">
        <v>381</v>
      </c>
      <c r="G238">
        <v>3.61</v>
      </c>
      <c r="H238" s="3">
        <f t="shared" si="8"/>
        <v>0</v>
      </c>
      <c r="I238" t="s">
        <v>383</v>
      </c>
      <c r="J238" t="s">
        <v>383</v>
      </c>
      <c r="K238" t="s">
        <v>383</v>
      </c>
    </row>
    <row r="239" spans="1:11">
      <c r="A239" t="s">
        <v>247</v>
      </c>
      <c r="B239" t="s">
        <v>260</v>
      </c>
      <c r="C239" t="s">
        <v>500</v>
      </c>
      <c r="D239">
        <v>2.66</v>
      </c>
      <c r="E239" s="3">
        <f t="shared" si="7"/>
        <v>47215</v>
      </c>
      <c r="F239" t="s">
        <v>381</v>
      </c>
      <c r="G239">
        <v>3.61</v>
      </c>
      <c r="H239" s="3">
        <f t="shared" si="8"/>
        <v>0</v>
      </c>
      <c r="I239" t="s">
        <v>383</v>
      </c>
      <c r="J239" t="s">
        <v>383</v>
      </c>
      <c r="K239" t="s">
        <v>383</v>
      </c>
    </row>
    <row r="240" spans="1:11">
      <c r="A240" t="s">
        <v>247</v>
      </c>
      <c r="B240" t="s">
        <v>261</v>
      </c>
      <c r="C240" t="s">
        <v>502</v>
      </c>
      <c r="D240">
        <v>2.66</v>
      </c>
      <c r="E240" s="3">
        <f t="shared" si="7"/>
        <v>111720</v>
      </c>
      <c r="F240" t="s">
        <v>381</v>
      </c>
      <c r="G240">
        <v>3.61</v>
      </c>
      <c r="H240" s="3">
        <f t="shared" si="8"/>
        <v>0</v>
      </c>
      <c r="I240" t="s">
        <v>383</v>
      </c>
      <c r="J240" t="s">
        <v>383</v>
      </c>
      <c r="K240" t="s">
        <v>383</v>
      </c>
    </row>
    <row r="241" spans="1:11">
      <c r="A241" t="s">
        <v>247</v>
      </c>
      <c r="B241" t="s">
        <v>262</v>
      </c>
      <c r="C241" t="s">
        <v>504</v>
      </c>
      <c r="D241">
        <v>2.66</v>
      </c>
      <c r="E241" s="3">
        <f t="shared" si="7"/>
        <v>23940</v>
      </c>
      <c r="F241" t="s">
        <v>381</v>
      </c>
      <c r="G241">
        <v>3.61</v>
      </c>
      <c r="H241" s="3">
        <f t="shared" si="8"/>
        <v>0</v>
      </c>
      <c r="I241" t="s">
        <v>383</v>
      </c>
      <c r="J241" t="s">
        <v>383</v>
      </c>
      <c r="K241" t="s">
        <v>383</v>
      </c>
    </row>
    <row r="242" spans="1:11">
      <c r="A242" t="s">
        <v>247</v>
      </c>
      <c r="B242" t="s">
        <v>263</v>
      </c>
      <c r="C242" t="s">
        <v>503</v>
      </c>
      <c r="D242">
        <v>2.66</v>
      </c>
      <c r="E242" s="3">
        <f t="shared" si="7"/>
        <v>98420</v>
      </c>
      <c r="F242" t="s">
        <v>381</v>
      </c>
      <c r="G242">
        <v>3.61</v>
      </c>
      <c r="H242" s="3">
        <f t="shared" si="8"/>
        <v>0</v>
      </c>
      <c r="I242" t="s">
        <v>383</v>
      </c>
      <c r="J242" t="s">
        <v>383</v>
      </c>
      <c r="K242" t="s">
        <v>383</v>
      </c>
    </row>
    <row r="243" spans="1:11">
      <c r="A243" t="s">
        <v>247</v>
      </c>
      <c r="B243" t="s">
        <v>264</v>
      </c>
      <c r="C243" t="s">
        <v>505</v>
      </c>
      <c r="D243">
        <v>2.66</v>
      </c>
      <c r="E243" s="3">
        <f t="shared" si="7"/>
        <v>33250</v>
      </c>
      <c r="F243" t="s">
        <v>381</v>
      </c>
      <c r="G243">
        <v>3.61</v>
      </c>
      <c r="H243" s="3">
        <f t="shared" si="8"/>
        <v>0</v>
      </c>
      <c r="I243" t="s">
        <v>383</v>
      </c>
      <c r="J243" t="s">
        <v>383</v>
      </c>
      <c r="K243" t="s">
        <v>383</v>
      </c>
    </row>
    <row r="244" spans="1:11">
      <c r="A244" t="s">
        <v>247</v>
      </c>
      <c r="B244" t="s">
        <v>265</v>
      </c>
      <c r="C244" t="s">
        <v>515</v>
      </c>
      <c r="D244">
        <v>2.66</v>
      </c>
      <c r="E244" s="3">
        <f t="shared" si="7"/>
        <v>65569</v>
      </c>
      <c r="F244" t="s">
        <v>381</v>
      </c>
      <c r="G244">
        <v>3.61</v>
      </c>
      <c r="H244" s="3">
        <f t="shared" si="8"/>
        <v>0</v>
      </c>
      <c r="I244" t="s">
        <v>383</v>
      </c>
      <c r="J244" t="s">
        <v>383</v>
      </c>
      <c r="K244" t="s">
        <v>383</v>
      </c>
    </row>
    <row r="245" spans="1:11">
      <c r="A245" t="s">
        <v>247</v>
      </c>
      <c r="B245" t="s">
        <v>266</v>
      </c>
      <c r="C245" t="s">
        <v>381</v>
      </c>
      <c r="D245">
        <v>2.66</v>
      </c>
      <c r="E245" s="3">
        <f t="shared" ref="E245:E254" si="9">C245*D245</f>
        <v>0</v>
      </c>
      <c r="F245" t="s">
        <v>540</v>
      </c>
      <c r="G245">
        <v>3.61</v>
      </c>
      <c r="H245" s="3">
        <f t="shared" ref="H245:H254" si="10">F245*G245</f>
        <v>496678.7815</v>
      </c>
      <c r="I245" t="s">
        <v>383</v>
      </c>
      <c r="J245" t="s">
        <v>383</v>
      </c>
      <c r="K245" t="s">
        <v>383</v>
      </c>
    </row>
    <row r="246" spans="1:11">
      <c r="A246" t="s">
        <v>247</v>
      </c>
      <c r="B246" t="s">
        <v>267</v>
      </c>
      <c r="C246" t="s">
        <v>381</v>
      </c>
      <c r="D246">
        <v>2.66</v>
      </c>
      <c r="E246" s="3">
        <f t="shared" si="9"/>
        <v>0</v>
      </c>
      <c r="F246" t="s">
        <v>452</v>
      </c>
      <c r="G246">
        <v>3.61</v>
      </c>
      <c r="H246" s="3">
        <f t="shared" si="10"/>
        <v>20006.6922</v>
      </c>
      <c r="I246" t="s">
        <v>383</v>
      </c>
      <c r="J246" t="s">
        <v>383</v>
      </c>
      <c r="K246" t="s">
        <v>383</v>
      </c>
    </row>
    <row r="247" spans="1:11">
      <c r="A247" t="s">
        <v>247</v>
      </c>
      <c r="B247" t="s">
        <v>268</v>
      </c>
      <c r="C247" t="s">
        <v>508</v>
      </c>
      <c r="D247">
        <v>2.66</v>
      </c>
      <c r="E247" s="3">
        <f t="shared" si="9"/>
        <v>22610</v>
      </c>
      <c r="F247" t="s">
        <v>381</v>
      </c>
      <c r="G247">
        <v>3.61</v>
      </c>
      <c r="H247" s="3">
        <f t="shared" si="10"/>
        <v>0</v>
      </c>
      <c r="I247" t="s">
        <v>383</v>
      </c>
      <c r="J247" t="s">
        <v>383</v>
      </c>
      <c r="K247" t="s">
        <v>383</v>
      </c>
    </row>
    <row r="248" spans="1:11">
      <c r="A248" t="s">
        <v>247</v>
      </c>
      <c r="B248" t="s">
        <v>268</v>
      </c>
      <c r="C248" t="s">
        <v>402</v>
      </c>
      <c r="D248">
        <v>2.66</v>
      </c>
      <c r="E248" s="3">
        <f t="shared" si="9"/>
        <v>23.142</v>
      </c>
      <c r="F248" t="s">
        <v>381</v>
      </c>
      <c r="G248">
        <v>3.61</v>
      </c>
      <c r="H248" s="3">
        <f t="shared" si="10"/>
        <v>0</v>
      </c>
      <c r="I248" t="s">
        <v>383</v>
      </c>
      <c r="J248" t="s">
        <v>383</v>
      </c>
      <c r="K248" t="s">
        <v>383</v>
      </c>
    </row>
    <row r="249" spans="1:11">
      <c r="A249" t="s">
        <v>247</v>
      </c>
      <c r="B249" t="s">
        <v>268</v>
      </c>
      <c r="C249" t="s">
        <v>403</v>
      </c>
      <c r="D249">
        <v>2.66</v>
      </c>
      <c r="E249" s="3">
        <f t="shared" si="9"/>
        <v>3.458</v>
      </c>
      <c r="F249" t="s">
        <v>381</v>
      </c>
      <c r="G249">
        <v>3.61</v>
      </c>
      <c r="H249" s="3">
        <f t="shared" si="10"/>
        <v>0</v>
      </c>
      <c r="I249" t="s">
        <v>383</v>
      </c>
      <c r="J249" t="s">
        <v>383</v>
      </c>
      <c r="K249" t="s">
        <v>383</v>
      </c>
    </row>
    <row r="250" spans="1:11">
      <c r="A250" t="s">
        <v>247</v>
      </c>
      <c r="B250" t="s">
        <v>269</v>
      </c>
      <c r="C250" t="s">
        <v>381</v>
      </c>
      <c r="D250">
        <v>2.66</v>
      </c>
      <c r="E250" s="3">
        <f t="shared" si="9"/>
        <v>0</v>
      </c>
      <c r="F250" t="s">
        <v>541</v>
      </c>
      <c r="G250">
        <v>3.61</v>
      </c>
      <c r="H250" s="3">
        <f t="shared" si="10"/>
        <v>1263500</v>
      </c>
      <c r="I250" t="s">
        <v>383</v>
      </c>
      <c r="J250" t="s">
        <v>383</v>
      </c>
      <c r="K250" t="s">
        <v>383</v>
      </c>
    </row>
    <row r="251" spans="1:11">
      <c r="A251" t="s">
        <v>247</v>
      </c>
      <c r="B251" t="s">
        <v>270</v>
      </c>
      <c r="C251" t="s">
        <v>542</v>
      </c>
      <c r="D251">
        <v>2.66</v>
      </c>
      <c r="E251" s="3">
        <f t="shared" si="9"/>
        <v>414960</v>
      </c>
      <c r="F251" t="s">
        <v>381</v>
      </c>
      <c r="G251">
        <v>3.61</v>
      </c>
      <c r="H251" s="3">
        <f t="shared" si="10"/>
        <v>0</v>
      </c>
      <c r="I251" t="s">
        <v>383</v>
      </c>
      <c r="J251" t="s">
        <v>383</v>
      </c>
      <c r="K251" t="s">
        <v>383</v>
      </c>
    </row>
    <row r="252" spans="1:11">
      <c r="A252" t="s">
        <v>247</v>
      </c>
      <c r="B252" t="s">
        <v>271</v>
      </c>
      <c r="C252" t="s">
        <v>381</v>
      </c>
      <c r="D252">
        <v>2.66</v>
      </c>
      <c r="E252" s="3">
        <f t="shared" si="9"/>
        <v>0</v>
      </c>
      <c r="F252" t="s">
        <v>543</v>
      </c>
      <c r="G252">
        <v>3.61</v>
      </c>
      <c r="H252" s="3">
        <f t="shared" si="10"/>
        <v>-1263500</v>
      </c>
      <c r="I252" t="s">
        <v>383</v>
      </c>
      <c r="J252" t="s">
        <v>383</v>
      </c>
      <c r="K252" t="s">
        <v>383</v>
      </c>
    </row>
    <row r="253" spans="1:11">
      <c r="A253" t="s">
        <v>247</v>
      </c>
      <c r="B253" t="s">
        <v>272</v>
      </c>
      <c r="C253" t="s">
        <v>541</v>
      </c>
      <c r="D253">
        <v>2.66</v>
      </c>
      <c r="E253" s="3">
        <f t="shared" si="9"/>
        <v>931000</v>
      </c>
      <c r="F253" t="s">
        <v>381</v>
      </c>
      <c r="G253">
        <v>3.61</v>
      </c>
      <c r="H253" s="3">
        <f t="shared" si="10"/>
        <v>0</v>
      </c>
      <c r="I253" t="s">
        <v>383</v>
      </c>
      <c r="J253" t="s">
        <v>383</v>
      </c>
      <c r="K253" t="s">
        <v>383</v>
      </c>
    </row>
    <row r="254" spans="1:11">
      <c r="A254" t="s">
        <v>247</v>
      </c>
      <c r="B254" t="s">
        <v>273</v>
      </c>
      <c r="C254" t="s">
        <v>381</v>
      </c>
      <c r="D254">
        <v>2.66</v>
      </c>
      <c r="E254" s="3">
        <f t="shared" si="9"/>
        <v>0</v>
      </c>
      <c r="F254" t="s">
        <v>429</v>
      </c>
      <c r="G254">
        <v>3.61</v>
      </c>
      <c r="H254" s="3">
        <f t="shared" si="10"/>
        <v>12505.0761</v>
      </c>
      <c r="I254" t="s">
        <v>383</v>
      </c>
      <c r="J254" t="s">
        <v>383</v>
      </c>
      <c r="K254" t="s">
        <v>383</v>
      </c>
    </row>
    <row r="255" spans="5:8">
      <c r="E255" s="6">
        <f>SUM(E117:E254)</f>
        <v>20382347.09</v>
      </c>
      <c r="H255" s="6">
        <f>SUM(H117:H254)</f>
        <v>20351381.8229</v>
      </c>
    </row>
    <row r="256" spans="5:5">
      <c r="E256" s="6"/>
    </row>
    <row r="258" spans="1:11">
      <c r="A258" t="s">
        <v>274</v>
      </c>
      <c r="B258" t="s">
        <v>275</v>
      </c>
      <c r="C258" t="s">
        <v>381</v>
      </c>
      <c r="D258">
        <v>5.16</v>
      </c>
      <c r="E258">
        <f t="shared" ref="E258:E321" si="11">C258*D258</f>
        <v>0</v>
      </c>
      <c r="F258" t="s">
        <v>544</v>
      </c>
      <c r="G258">
        <v>5.16</v>
      </c>
      <c r="H258" s="3">
        <f t="shared" ref="H258:H321" si="12">F258*G258</f>
        <v>765111.9</v>
      </c>
      <c r="I258" t="s">
        <v>383</v>
      </c>
      <c r="J258" t="s">
        <v>383</v>
      </c>
      <c r="K258" t="s">
        <v>383</v>
      </c>
    </row>
    <row r="259" spans="1:11">
      <c r="A259" t="s">
        <v>274</v>
      </c>
      <c r="B259" t="s">
        <v>276</v>
      </c>
      <c r="C259" t="s">
        <v>381</v>
      </c>
      <c r="D259">
        <v>5.16</v>
      </c>
      <c r="E259" s="3">
        <f t="shared" si="11"/>
        <v>0</v>
      </c>
      <c r="F259" t="s">
        <v>545</v>
      </c>
      <c r="G259">
        <f t="shared" ref="G259:G322" si="13">G258</f>
        <v>5.16</v>
      </c>
      <c r="H259" s="3">
        <f t="shared" si="12"/>
        <v>898380.51</v>
      </c>
      <c r="I259" t="s">
        <v>383</v>
      </c>
      <c r="J259" t="s">
        <v>383</v>
      </c>
      <c r="K259" t="s">
        <v>383</v>
      </c>
    </row>
    <row r="260" spans="1:11">
      <c r="A260" t="s">
        <v>274</v>
      </c>
      <c r="B260" t="s">
        <v>277</v>
      </c>
      <c r="C260" t="s">
        <v>381</v>
      </c>
      <c r="D260">
        <v>5.16</v>
      </c>
      <c r="E260" s="3">
        <f t="shared" si="11"/>
        <v>0</v>
      </c>
      <c r="F260" t="s">
        <v>546</v>
      </c>
      <c r="G260">
        <f t="shared" si="13"/>
        <v>5.16</v>
      </c>
      <c r="H260" s="3">
        <f t="shared" si="12"/>
        <v>96777.6576</v>
      </c>
      <c r="I260" t="s">
        <v>383</v>
      </c>
      <c r="J260" t="s">
        <v>383</v>
      </c>
      <c r="K260" t="s">
        <v>383</v>
      </c>
    </row>
    <row r="261" spans="1:11">
      <c r="A261" t="s">
        <v>274</v>
      </c>
      <c r="B261" t="s">
        <v>278</v>
      </c>
      <c r="C261" t="s">
        <v>381</v>
      </c>
      <c r="D261">
        <v>5.16</v>
      </c>
      <c r="E261" s="3">
        <f t="shared" si="11"/>
        <v>0</v>
      </c>
      <c r="F261" t="s">
        <v>547</v>
      </c>
      <c r="G261">
        <f t="shared" si="13"/>
        <v>5.16</v>
      </c>
      <c r="H261" s="3">
        <f t="shared" si="12"/>
        <v>469669.5468</v>
      </c>
      <c r="I261" t="s">
        <v>383</v>
      </c>
      <c r="J261" t="s">
        <v>383</v>
      </c>
      <c r="K261" t="s">
        <v>383</v>
      </c>
    </row>
    <row r="262" spans="1:11">
      <c r="A262" t="s">
        <v>274</v>
      </c>
      <c r="B262" t="s">
        <v>279</v>
      </c>
      <c r="C262" t="s">
        <v>381</v>
      </c>
      <c r="D262">
        <v>5.16</v>
      </c>
      <c r="E262" s="3">
        <f t="shared" si="11"/>
        <v>0</v>
      </c>
      <c r="F262" t="s">
        <v>548</v>
      </c>
      <c r="G262">
        <f t="shared" si="13"/>
        <v>5.16</v>
      </c>
      <c r="H262" s="3">
        <f t="shared" si="12"/>
        <v>464.2968</v>
      </c>
      <c r="I262" t="s">
        <v>383</v>
      </c>
      <c r="J262" t="s">
        <v>383</v>
      </c>
      <c r="K262" t="s">
        <v>383</v>
      </c>
    </row>
    <row r="263" spans="1:11">
      <c r="A263" t="s">
        <v>274</v>
      </c>
      <c r="B263" t="s">
        <v>280</v>
      </c>
      <c r="C263" t="s">
        <v>381</v>
      </c>
      <c r="D263">
        <v>5.16</v>
      </c>
      <c r="E263" s="3">
        <f t="shared" si="11"/>
        <v>0</v>
      </c>
      <c r="F263" t="s">
        <v>549</v>
      </c>
      <c r="G263">
        <f t="shared" si="13"/>
        <v>5.16</v>
      </c>
      <c r="H263" s="3">
        <f t="shared" si="12"/>
        <v>173346.7428</v>
      </c>
      <c r="I263" t="s">
        <v>383</v>
      </c>
      <c r="J263" t="s">
        <v>383</v>
      </c>
      <c r="K263" t="s">
        <v>383</v>
      </c>
    </row>
    <row r="264" spans="1:11">
      <c r="A264" t="s">
        <v>274</v>
      </c>
      <c r="B264" t="s">
        <v>281</v>
      </c>
      <c r="C264" t="s">
        <v>381</v>
      </c>
      <c r="D264">
        <v>5.16</v>
      </c>
      <c r="E264" s="3">
        <f t="shared" si="11"/>
        <v>0</v>
      </c>
      <c r="F264" t="s">
        <v>445</v>
      </c>
      <c r="G264">
        <f t="shared" si="13"/>
        <v>5.16</v>
      </c>
      <c r="H264" s="3">
        <f t="shared" si="12"/>
        <v>11228.2632</v>
      </c>
      <c r="I264" t="s">
        <v>383</v>
      </c>
      <c r="J264" t="s">
        <v>383</v>
      </c>
      <c r="K264" t="s">
        <v>383</v>
      </c>
    </row>
    <row r="265" spans="1:11">
      <c r="A265" t="s">
        <v>282</v>
      </c>
      <c r="B265" t="s">
        <v>283</v>
      </c>
      <c r="C265" t="s">
        <v>381</v>
      </c>
      <c r="D265">
        <v>5.16</v>
      </c>
      <c r="E265" s="3">
        <f t="shared" si="11"/>
        <v>0</v>
      </c>
      <c r="F265" t="s">
        <v>550</v>
      </c>
      <c r="G265">
        <f t="shared" si="13"/>
        <v>5.16</v>
      </c>
      <c r="H265" s="3">
        <f t="shared" si="12"/>
        <v>108544.0572</v>
      </c>
      <c r="I265" t="s">
        <v>383</v>
      </c>
      <c r="J265" t="s">
        <v>383</v>
      </c>
      <c r="K265" t="s">
        <v>383</v>
      </c>
    </row>
    <row r="266" spans="1:11">
      <c r="A266" t="s">
        <v>284</v>
      </c>
      <c r="B266" t="s">
        <v>285</v>
      </c>
      <c r="C266" t="s">
        <v>381</v>
      </c>
      <c r="D266">
        <v>5.16</v>
      </c>
      <c r="E266" s="3">
        <f t="shared" si="11"/>
        <v>0</v>
      </c>
      <c r="F266" t="s">
        <v>551</v>
      </c>
      <c r="G266">
        <f t="shared" si="13"/>
        <v>5.16</v>
      </c>
      <c r="H266" s="3">
        <f t="shared" si="12"/>
        <v>786732.7644</v>
      </c>
      <c r="I266" t="s">
        <v>383</v>
      </c>
      <c r="J266" t="s">
        <v>383</v>
      </c>
      <c r="K266" t="s">
        <v>383</v>
      </c>
    </row>
    <row r="267" spans="1:11">
      <c r="A267" t="s">
        <v>286</v>
      </c>
      <c r="B267" t="s">
        <v>287</v>
      </c>
      <c r="C267" t="s">
        <v>381</v>
      </c>
      <c r="D267">
        <v>5.16</v>
      </c>
      <c r="E267" s="3">
        <f t="shared" si="11"/>
        <v>0</v>
      </c>
      <c r="F267" t="s">
        <v>552</v>
      </c>
      <c r="G267">
        <f t="shared" si="13"/>
        <v>5.16</v>
      </c>
      <c r="H267" s="3">
        <f t="shared" si="12"/>
        <v>928739.886</v>
      </c>
      <c r="I267" t="s">
        <v>383</v>
      </c>
      <c r="J267" t="s">
        <v>383</v>
      </c>
      <c r="K267" t="s">
        <v>383</v>
      </c>
    </row>
    <row r="268" spans="1:11">
      <c r="A268" t="s">
        <v>288</v>
      </c>
      <c r="B268" t="s">
        <v>289</v>
      </c>
      <c r="C268" t="s">
        <v>381</v>
      </c>
      <c r="D268">
        <v>5.16</v>
      </c>
      <c r="E268" s="3">
        <f t="shared" si="11"/>
        <v>0</v>
      </c>
      <c r="F268" t="s">
        <v>553</v>
      </c>
      <c r="G268">
        <f t="shared" si="13"/>
        <v>5.16</v>
      </c>
      <c r="H268" s="3">
        <f t="shared" si="12"/>
        <v>749274.5184</v>
      </c>
      <c r="I268" t="s">
        <v>383</v>
      </c>
      <c r="J268" t="s">
        <v>383</v>
      </c>
      <c r="K268" t="s">
        <v>383</v>
      </c>
    </row>
    <row r="269" spans="1:11">
      <c r="A269" t="s">
        <v>288</v>
      </c>
      <c r="B269" t="s">
        <v>290</v>
      </c>
      <c r="C269" t="s">
        <v>381</v>
      </c>
      <c r="D269">
        <v>5.16</v>
      </c>
      <c r="E269" s="3">
        <f t="shared" si="11"/>
        <v>0</v>
      </c>
      <c r="F269" t="s">
        <v>554</v>
      </c>
      <c r="G269">
        <f t="shared" si="13"/>
        <v>5.16</v>
      </c>
      <c r="H269" s="3">
        <f t="shared" si="12"/>
        <v>785100.7596</v>
      </c>
      <c r="I269" t="s">
        <v>383</v>
      </c>
      <c r="J269" t="s">
        <v>383</v>
      </c>
      <c r="K269" t="s">
        <v>383</v>
      </c>
    </row>
    <row r="270" spans="1:11">
      <c r="A270" t="s">
        <v>288</v>
      </c>
      <c r="B270" t="s">
        <v>291</v>
      </c>
      <c r="C270" t="s">
        <v>381</v>
      </c>
      <c r="D270">
        <v>5.16</v>
      </c>
      <c r="E270" s="3">
        <f t="shared" si="11"/>
        <v>0</v>
      </c>
      <c r="F270" t="s">
        <v>555</v>
      </c>
      <c r="G270">
        <f t="shared" si="13"/>
        <v>5.16</v>
      </c>
      <c r="H270" s="3">
        <f t="shared" si="12"/>
        <v>31867.386</v>
      </c>
      <c r="I270" t="s">
        <v>383</v>
      </c>
      <c r="J270" t="s">
        <v>383</v>
      </c>
      <c r="K270" t="s">
        <v>383</v>
      </c>
    </row>
    <row r="271" spans="1:11">
      <c r="A271" t="s">
        <v>288</v>
      </c>
      <c r="B271" t="s">
        <v>292</v>
      </c>
      <c r="C271" t="s">
        <v>381</v>
      </c>
      <c r="D271">
        <v>5.16</v>
      </c>
      <c r="E271" s="3">
        <f t="shared" si="11"/>
        <v>0</v>
      </c>
      <c r="F271" t="s">
        <v>556</v>
      </c>
      <c r="G271">
        <f t="shared" si="13"/>
        <v>5.16</v>
      </c>
      <c r="H271" s="3">
        <f t="shared" si="12"/>
        <v>35748.5832</v>
      </c>
      <c r="I271" t="s">
        <v>383</v>
      </c>
      <c r="J271" t="s">
        <v>383</v>
      </c>
      <c r="K271" t="s">
        <v>383</v>
      </c>
    </row>
    <row r="272" spans="1:11">
      <c r="A272" t="s">
        <v>293</v>
      </c>
      <c r="B272" t="s">
        <v>294</v>
      </c>
      <c r="C272" t="s">
        <v>381</v>
      </c>
      <c r="D272">
        <v>5.16</v>
      </c>
      <c r="E272" s="3">
        <f t="shared" si="11"/>
        <v>0</v>
      </c>
      <c r="F272" t="s">
        <v>557</v>
      </c>
      <c r="G272">
        <f t="shared" si="13"/>
        <v>5.16</v>
      </c>
      <c r="H272" s="3">
        <f t="shared" si="12"/>
        <v>829660.662</v>
      </c>
      <c r="I272" t="s">
        <v>383</v>
      </c>
      <c r="J272" t="s">
        <v>383</v>
      </c>
      <c r="K272" t="s">
        <v>383</v>
      </c>
    </row>
    <row r="273" spans="1:11">
      <c r="A273" t="s">
        <v>293</v>
      </c>
      <c r="B273" t="s">
        <v>295</v>
      </c>
      <c r="C273" t="s">
        <v>381</v>
      </c>
      <c r="D273">
        <v>5.16</v>
      </c>
      <c r="E273" s="3">
        <f t="shared" si="11"/>
        <v>0</v>
      </c>
      <c r="F273" t="s">
        <v>439</v>
      </c>
      <c r="G273">
        <f t="shared" si="13"/>
        <v>5.16</v>
      </c>
      <c r="H273" s="3">
        <f t="shared" si="12"/>
        <v>464.3484</v>
      </c>
      <c r="I273" t="s">
        <v>383</v>
      </c>
      <c r="J273" t="s">
        <v>383</v>
      </c>
      <c r="K273" t="s">
        <v>383</v>
      </c>
    </row>
    <row r="274" spans="1:11">
      <c r="A274" t="s">
        <v>296</v>
      </c>
      <c r="B274" t="s">
        <v>297</v>
      </c>
      <c r="C274" t="s">
        <v>381</v>
      </c>
      <c r="D274">
        <v>5.16</v>
      </c>
      <c r="E274" s="3">
        <f t="shared" si="11"/>
        <v>0</v>
      </c>
      <c r="F274" t="s">
        <v>558</v>
      </c>
      <c r="G274">
        <f t="shared" si="13"/>
        <v>5.16</v>
      </c>
      <c r="H274" s="3">
        <f t="shared" si="12"/>
        <v>1608586.6044</v>
      </c>
      <c r="I274" t="s">
        <v>383</v>
      </c>
      <c r="J274" t="s">
        <v>383</v>
      </c>
      <c r="K274" t="s">
        <v>383</v>
      </c>
    </row>
    <row r="275" spans="1:11">
      <c r="A275" t="s">
        <v>296</v>
      </c>
      <c r="B275" t="s">
        <v>298</v>
      </c>
      <c r="C275" t="s">
        <v>381</v>
      </c>
      <c r="D275">
        <v>5.16</v>
      </c>
      <c r="E275" s="3">
        <f t="shared" si="11"/>
        <v>0</v>
      </c>
      <c r="F275" t="s">
        <v>466</v>
      </c>
      <c r="G275">
        <f t="shared" si="13"/>
        <v>5.16</v>
      </c>
      <c r="H275" s="3">
        <f t="shared" si="12"/>
        <v>18885.7548</v>
      </c>
      <c r="I275" t="s">
        <v>383</v>
      </c>
      <c r="J275" t="s">
        <v>383</v>
      </c>
      <c r="K275" t="s">
        <v>383</v>
      </c>
    </row>
    <row r="276" spans="1:11">
      <c r="A276" t="s">
        <v>299</v>
      </c>
      <c r="B276" t="s">
        <v>300</v>
      </c>
      <c r="C276" t="s">
        <v>381</v>
      </c>
      <c r="D276">
        <v>5.16</v>
      </c>
      <c r="E276" s="3">
        <f t="shared" si="11"/>
        <v>0</v>
      </c>
      <c r="F276" t="s">
        <v>559</v>
      </c>
      <c r="G276">
        <f t="shared" si="13"/>
        <v>5.16</v>
      </c>
      <c r="H276" s="3">
        <f t="shared" si="12"/>
        <v>773263.8228</v>
      </c>
      <c r="I276" t="s">
        <v>383</v>
      </c>
      <c r="J276" t="s">
        <v>383</v>
      </c>
      <c r="K276" t="s">
        <v>383</v>
      </c>
    </row>
    <row r="277" spans="1:11">
      <c r="A277" t="s">
        <v>301</v>
      </c>
      <c r="B277" t="s">
        <v>302</v>
      </c>
      <c r="C277" t="s">
        <v>560</v>
      </c>
      <c r="D277">
        <v>5.16</v>
      </c>
      <c r="E277" s="3">
        <f t="shared" si="11"/>
        <v>3338520</v>
      </c>
      <c r="F277" t="s">
        <v>381</v>
      </c>
      <c r="G277">
        <f t="shared" si="13"/>
        <v>5.16</v>
      </c>
      <c r="H277" s="3">
        <f t="shared" si="12"/>
        <v>0</v>
      </c>
      <c r="I277" t="s">
        <v>383</v>
      </c>
      <c r="J277" t="s">
        <v>383</v>
      </c>
      <c r="K277" t="s">
        <v>383</v>
      </c>
    </row>
    <row r="278" spans="1:11">
      <c r="A278" t="s">
        <v>301</v>
      </c>
      <c r="B278" t="s">
        <v>303</v>
      </c>
      <c r="C278" t="s">
        <v>510</v>
      </c>
      <c r="D278">
        <v>5.16</v>
      </c>
      <c r="E278" s="3">
        <f t="shared" si="11"/>
        <v>30960</v>
      </c>
      <c r="F278" t="s">
        <v>381</v>
      </c>
      <c r="G278">
        <f t="shared" si="13"/>
        <v>5.16</v>
      </c>
      <c r="H278" s="3">
        <f t="shared" si="12"/>
        <v>0</v>
      </c>
      <c r="I278" t="s">
        <v>383</v>
      </c>
      <c r="J278" t="s">
        <v>383</v>
      </c>
      <c r="K278" t="s">
        <v>383</v>
      </c>
    </row>
    <row r="279" spans="1:11">
      <c r="A279" t="s">
        <v>301</v>
      </c>
      <c r="B279" t="s">
        <v>304</v>
      </c>
      <c r="C279" t="s">
        <v>508</v>
      </c>
      <c r="D279">
        <v>5.16</v>
      </c>
      <c r="E279" s="3">
        <f t="shared" si="11"/>
        <v>43860</v>
      </c>
      <c r="F279" t="s">
        <v>381</v>
      </c>
      <c r="G279">
        <f t="shared" si="13"/>
        <v>5.16</v>
      </c>
      <c r="H279" s="3">
        <f t="shared" si="12"/>
        <v>0</v>
      </c>
      <c r="I279" t="s">
        <v>383</v>
      </c>
      <c r="J279" t="s">
        <v>383</v>
      </c>
      <c r="K279" t="s">
        <v>383</v>
      </c>
    </row>
    <row r="280" spans="1:11">
      <c r="A280" t="s">
        <v>301</v>
      </c>
      <c r="B280" t="s">
        <v>305</v>
      </c>
      <c r="C280" t="s">
        <v>419</v>
      </c>
      <c r="D280">
        <v>5.16</v>
      </c>
      <c r="E280" s="3">
        <f t="shared" si="11"/>
        <v>309600</v>
      </c>
      <c r="F280" t="s">
        <v>381</v>
      </c>
      <c r="G280">
        <f t="shared" si="13"/>
        <v>5.16</v>
      </c>
      <c r="H280" s="3">
        <f t="shared" si="12"/>
        <v>0</v>
      </c>
      <c r="I280" t="s">
        <v>383</v>
      </c>
      <c r="J280" t="s">
        <v>383</v>
      </c>
      <c r="K280" t="s">
        <v>383</v>
      </c>
    </row>
    <row r="281" spans="1:11">
      <c r="A281" t="s">
        <v>301</v>
      </c>
      <c r="B281" t="s">
        <v>306</v>
      </c>
      <c r="C281" t="s">
        <v>500</v>
      </c>
      <c r="D281">
        <v>5.16</v>
      </c>
      <c r="E281" s="3">
        <f t="shared" si="11"/>
        <v>91590</v>
      </c>
      <c r="F281" t="s">
        <v>381</v>
      </c>
      <c r="G281">
        <f t="shared" si="13"/>
        <v>5.16</v>
      </c>
      <c r="H281" s="3">
        <f t="shared" si="12"/>
        <v>0</v>
      </c>
      <c r="I281" t="s">
        <v>383</v>
      </c>
      <c r="J281" t="s">
        <v>383</v>
      </c>
      <c r="K281" t="s">
        <v>383</v>
      </c>
    </row>
    <row r="282" spans="1:11">
      <c r="A282" t="s">
        <v>301</v>
      </c>
      <c r="B282" t="s">
        <v>307</v>
      </c>
      <c r="C282" t="s">
        <v>561</v>
      </c>
      <c r="D282">
        <v>5.16</v>
      </c>
      <c r="E282" s="3">
        <f t="shared" si="11"/>
        <v>101910</v>
      </c>
      <c r="F282" t="s">
        <v>381</v>
      </c>
      <c r="G282">
        <f t="shared" si="13"/>
        <v>5.16</v>
      </c>
      <c r="H282" s="3">
        <f t="shared" si="12"/>
        <v>0</v>
      </c>
      <c r="I282" t="s">
        <v>383</v>
      </c>
      <c r="J282" t="s">
        <v>383</v>
      </c>
      <c r="K282" t="s">
        <v>383</v>
      </c>
    </row>
    <row r="283" spans="1:11">
      <c r="A283" t="s">
        <v>301</v>
      </c>
      <c r="B283" t="s">
        <v>308</v>
      </c>
      <c r="C283" t="s">
        <v>502</v>
      </c>
      <c r="D283">
        <v>5.16</v>
      </c>
      <c r="E283" s="3">
        <f t="shared" si="11"/>
        <v>216720</v>
      </c>
      <c r="F283" t="s">
        <v>381</v>
      </c>
      <c r="G283">
        <f t="shared" si="13"/>
        <v>5.16</v>
      </c>
      <c r="H283" s="3">
        <f t="shared" si="12"/>
        <v>0</v>
      </c>
      <c r="I283" t="s">
        <v>383</v>
      </c>
      <c r="J283" t="s">
        <v>383</v>
      </c>
      <c r="K283" t="s">
        <v>383</v>
      </c>
    </row>
    <row r="284" spans="1:11">
      <c r="A284" t="s">
        <v>301</v>
      </c>
      <c r="B284" t="s">
        <v>309</v>
      </c>
      <c r="C284" t="s">
        <v>504</v>
      </c>
      <c r="D284">
        <v>5.16</v>
      </c>
      <c r="E284" s="3">
        <f t="shared" si="11"/>
        <v>46440</v>
      </c>
      <c r="F284" t="s">
        <v>381</v>
      </c>
      <c r="G284">
        <f t="shared" si="13"/>
        <v>5.16</v>
      </c>
      <c r="H284" s="3">
        <f t="shared" si="12"/>
        <v>0</v>
      </c>
      <c r="I284" t="s">
        <v>383</v>
      </c>
      <c r="J284" t="s">
        <v>383</v>
      </c>
      <c r="K284" t="s">
        <v>383</v>
      </c>
    </row>
    <row r="285" spans="1:11">
      <c r="A285" t="s">
        <v>301</v>
      </c>
      <c r="B285" t="s">
        <v>310</v>
      </c>
      <c r="C285" t="s">
        <v>503</v>
      </c>
      <c r="D285">
        <v>5.16</v>
      </c>
      <c r="E285" s="3">
        <f t="shared" si="11"/>
        <v>190920</v>
      </c>
      <c r="F285" t="s">
        <v>381</v>
      </c>
      <c r="G285">
        <f t="shared" si="13"/>
        <v>5.16</v>
      </c>
      <c r="H285" s="3">
        <f t="shared" si="12"/>
        <v>0</v>
      </c>
      <c r="I285" t="s">
        <v>383</v>
      </c>
      <c r="J285" t="s">
        <v>383</v>
      </c>
      <c r="K285" t="s">
        <v>383</v>
      </c>
    </row>
    <row r="286" spans="1:11">
      <c r="A286" t="s">
        <v>301</v>
      </c>
      <c r="B286" t="s">
        <v>311</v>
      </c>
      <c r="C286" t="s">
        <v>505</v>
      </c>
      <c r="D286">
        <v>5.16</v>
      </c>
      <c r="E286" s="3">
        <f t="shared" si="11"/>
        <v>64500</v>
      </c>
      <c r="F286" t="s">
        <v>381</v>
      </c>
      <c r="G286">
        <f t="shared" si="13"/>
        <v>5.16</v>
      </c>
      <c r="H286" s="3">
        <f t="shared" si="12"/>
        <v>0</v>
      </c>
      <c r="I286" t="s">
        <v>383</v>
      </c>
      <c r="J286" t="s">
        <v>383</v>
      </c>
      <c r="K286" t="s">
        <v>383</v>
      </c>
    </row>
    <row r="287" spans="1:11">
      <c r="A287" t="s">
        <v>301</v>
      </c>
      <c r="B287" t="s">
        <v>312</v>
      </c>
      <c r="C287" t="s">
        <v>515</v>
      </c>
      <c r="D287">
        <v>5.16</v>
      </c>
      <c r="E287" s="3">
        <f t="shared" si="11"/>
        <v>127194</v>
      </c>
      <c r="F287" t="s">
        <v>381</v>
      </c>
      <c r="G287">
        <f t="shared" si="13"/>
        <v>5.16</v>
      </c>
      <c r="H287" s="3">
        <f t="shared" si="12"/>
        <v>0</v>
      </c>
      <c r="I287" t="s">
        <v>383</v>
      </c>
      <c r="J287" t="s">
        <v>383</v>
      </c>
      <c r="K287" t="s">
        <v>383</v>
      </c>
    </row>
    <row r="288" spans="1:11">
      <c r="A288" t="s">
        <v>301</v>
      </c>
      <c r="B288" t="s">
        <v>313</v>
      </c>
      <c r="C288" t="s">
        <v>514</v>
      </c>
      <c r="D288">
        <v>5.16</v>
      </c>
      <c r="E288" s="3">
        <f t="shared" si="11"/>
        <v>307020</v>
      </c>
      <c r="F288" t="s">
        <v>381</v>
      </c>
      <c r="G288">
        <f t="shared" si="13"/>
        <v>5.16</v>
      </c>
      <c r="H288" s="3">
        <f t="shared" si="12"/>
        <v>0</v>
      </c>
      <c r="I288" t="s">
        <v>383</v>
      </c>
      <c r="J288" t="s">
        <v>383</v>
      </c>
      <c r="K288" t="s">
        <v>383</v>
      </c>
    </row>
    <row r="289" spans="1:11">
      <c r="A289" t="s">
        <v>301</v>
      </c>
      <c r="B289" t="s">
        <v>314</v>
      </c>
      <c r="C289" t="s">
        <v>508</v>
      </c>
      <c r="D289">
        <v>5.16</v>
      </c>
      <c r="E289" s="3">
        <f t="shared" si="11"/>
        <v>43860</v>
      </c>
      <c r="F289" t="s">
        <v>381</v>
      </c>
      <c r="G289">
        <f t="shared" si="13"/>
        <v>5.16</v>
      </c>
      <c r="H289" s="3">
        <f t="shared" si="12"/>
        <v>0</v>
      </c>
      <c r="I289" t="s">
        <v>383</v>
      </c>
      <c r="J289" t="s">
        <v>383</v>
      </c>
      <c r="K289" t="s">
        <v>383</v>
      </c>
    </row>
    <row r="290" spans="1:11">
      <c r="A290" t="s">
        <v>301</v>
      </c>
      <c r="B290" t="s">
        <v>315</v>
      </c>
      <c r="C290" t="s">
        <v>512</v>
      </c>
      <c r="D290">
        <v>5.16</v>
      </c>
      <c r="E290" s="3">
        <f t="shared" si="11"/>
        <v>114552</v>
      </c>
      <c r="F290" t="s">
        <v>381</v>
      </c>
      <c r="G290">
        <f t="shared" si="13"/>
        <v>5.16</v>
      </c>
      <c r="H290" s="3">
        <f t="shared" si="12"/>
        <v>0</v>
      </c>
      <c r="I290" t="s">
        <v>383</v>
      </c>
      <c r="J290" t="s">
        <v>383</v>
      </c>
      <c r="K290" t="s">
        <v>383</v>
      </c>
    </row>
    <row r="291" spans="1:11">
      <c r="A291" t="s">
        <v>301</v>
      </c>
      <c r="B291" t="s">
        <v>316</v>
      </c>
      <c r="C291" t="s">
        <v>479</v>
      </c>
      <c r="D291">
        <v>5.16</v>
      </c>
      <c r="E291" s="3">
        <f t="shared" si="11"/>
        <v>51600</v>
      </c>
      <c r="F291" t="s">
        <v>381</v>
      </c>
      <c r="G291">
        <f t="shared" si="13"/>
        <v>5.16</v>
      </c>
      <c r="H291" s="3">
        <f t="shared" si="12"/>
        <v>0</v>
      </c>
      <c r="I291" t="s">
        <v>383</v>
      </c>
      <c r="J291" t="s">
        <v>383</v>
      </c>
      <c r="K291" t="s">
        <v>383</v>
      </c>
    </row>
    <row r="292" spans="1:11">
      <c r="A292" t="s">
        <v>301</v>
      </c>
      <c r="B292" t="s">
        <v>317</v>
      </c>
      <c r="C292" t="s">
        <v>509</v>
      </c>
      <c r="D292">
        <v>5.16</v>
      </c>
      <c r="E292" s="3">
        <f t="shared" si="11"/>
        <v>619200</v>
      </c>
      <c r="F292" t="s">
        <v>381</v>
      </c>
      <c r="G292">
        <f t="shared" si="13"/>
        <v>5.16</v>
      </c>
      <c r="H292" s="3">
        <f t="shared" si="12"/>
        <v>0</v>
      </c>
      <c r="I292" t="s">
        <v>383</v>
      </c>
      <c r="J292" t="s">
        <v>383</v>
      </c>
      <c r="K292" t="s">
        <v>383</v>
      </c>
    </row>
    <row r="293" spans="1:11">
      <c r="A293" t="s">
        <v>301</v>
      </c>
      <c r="B293" t="s">
        <v>318</v>
      </c>
      <c r="C293" t="s">
        <v>509</v>
      </c>
      <c r="D293">
        <v>5.16</v>
      </c>
      <c r="E293" s="3">
        <f t="shared" si="11"/>
        <v>619200</v>
      </c>
      <c r="F293" t="s">
        <v>381</v>
      </c>
      <c r="G293">
        <f t="shared" si="13"/>
        <v>5.16</v>
      </c>
      <c r="H293" s="3">
        <f t="shared" si="12"/>
        <v>0</v>
      </c>
      <c r="I293" t="s">
        <v>383</v>
      </c>
      <c r="J293" t="s">
        <v>383</v>
      </c>
      <c r="K293" t="s">
        <v>383</v>
      </c>
    </row>
    <row r="294" spans="1:11">
      <c r="A294" t="s">
        <v>301</v>
      </c>
      <c r="B294" t="s">
        <v>319</v>
      </c>
      <c r="C294" t="s">
        <v>381</v>
      </c>
      <c r="D294">
        <v>5.16</v>
      </c>
      <c r="E294" s="3">
        <f t="shared" si="11"/>
        <v>0</v>
      </c>
      <c r="F294" t="s">
        <v>562</v>
      </c>
      <c r="G294">
        <f t="shared" si="13"/>
        <v>5.16</v>
      </c>
      <c r="H294" s="3">
        <f t="shared" si="12"/>
        <v>1148522.2944</v>
      </c>
      <c r="I294" t="s">
        <v>383</v>
      </c>
      <c r="J294" t="s">
        <v>383</v>
      </c>
      <c r="K294" t="s">
        <v>383</v>
      </c>
    </row>
    <row r="295" spans="1:11">
      <c r="A295" t="s">
        <v>301</v>
      </c>
      <c r="B295" t="s">
        <v>320</v>
      </c>
      <c r="C295" t="s">
        <v>563</v>
      </c>
      <c r="D295">
        <v>5.16</v>
      </c>
      <c r="E295" s="3">
        <f t="shared" si="11"/>
        <v>810481.2</v>
      </c>
      <c r="F295" t="s">
        <v>381</v>
      </c>
      <c r="G295">
        <f t="shared" si="13"/>
        <v>5.16</v>
      </c>
      <c r="H295" s="3">
        <f t="shared" si="12"/>
        <v>0</v>
      </c>
      <c r="I295" t="s">
        <v>383</v>
      </c>
      <c r="J295" t="s">
        <v>383</v>
      </c>
      <c r="K295" t="s">
        <v>383</v>
      </c>
    </row>
    <row r="296" spans="1:11">
      <c r="A296" t="s">
        <v>301</v>
      </c>
      <c r="B296" t="s">
        <v>321</v>
      </c>
      <c r="C296" t="s">
        <v>508</v>
      </c>
      <c r="D296">
        <v>5.16</v>
      </c>
      <c r="E296" s="3">
        <f t="shared" si="11"/>
        <v>43860</v>
      </c>
      <c r="F296" t="s">
        <v>381</v>
      </c>
      <c r="G296">
        <f t="shared" si="13"/>
        <v>5.16</v>
      </c>
      <c r="H296" s="3">
        <f t="shared" si="12"/>
        <v>0</v>
      </c>
      <c r="I296" t="s">
        <v>383</v>
      </c>
      <c r="J296" t="s">
        <v>383</v>
      </c>
      <c r="K296" t="s">
        <v>383</v>
      </c>
    </row>
    <row r="297" spans="1:11">
      <c r="A297" t="s">
        <v>301</v>
      </c>
      <c r="B297" t="s">
        <v>321</v>
      </c>
      <c r="C297" t="s">
        <v>402</v>
      </c>
      <c r="D297">
        <v>5.16</v>
      </c>
      <c r="E297" s="3">
        <f t="shared" si="11"/>
        <v>44.892</v>
      </c>
      <c r="F297" t="s">
        <v>381</v>
      </c>
      <c r="G297">
        <f t="shared" si="13"/>
        <v>5.16</v>
      </c>
      <c r="H297" s="3">
        <f t="shared" si="12"/>
        <v>0</v>
      </c>
      <c r="I297" t="s">
        <v>383</v>
      </c>
      <c r="J297" t="s">
        <v>383</v>
      </c>
      <c r="K297" t="s">
        <v>383</v>
      </c>
    </row>
    <row r="298" spans="1:11">
      <c r="A298" t="s">
        <v>301</v>
      </c>
      <c r="B298" t="s">
        <v>321</v>
      </c>
      <c r="C298" t="s">
        <v>403</v>
      </c>
      <c r="D298">
        <v>5.16</v>
      </c>
      <c r="E298" s="3">
        <f t="shared" si="11"/>
        <v>6.708</v>
      </c>
      <c r="F298" t="s">
        <v>381</v>
      </c>
      <c r="G298">
        <f t="shared" si="13"/>
        <v>5.16</v>
      </c>
      <c r="H298" s="3">
        <f t="shared" si="12"/>
        <v>0</v>
      </c>
      <c r="I298" t="s">
        <v>383</v>
      </c>
      <c r="J298" t="s">
        <v>383</v>
      </c>
      <c r="K298" t="s">
        <v>383</v>
      </c>
    </row>
    <row r="299" spans="1:11">
      <c r="A299" t="s">
        <v>301</v>
      </c>
      <c r="B299" t="s">
        <v>322</v>
      </c>
      <c r="C299" t="s">
        <v>381</v>
      </c>
      <c r="D299">
        <v>5.16</v>
      </c>
      <c r="E299" s="3">
        <f t="shared" si="11"/>
        <v>0</v>
      </c>
      <c r="F299" t="s">
        <v>429</v>
      </c>
      <c r="G299">
        <f t="shared" si="13"/>
        <v>5.16</v>
      </c>
      <c r="H299" s="3">
        <f t="shared" si="12"/>
        <v>17874.2916</v>
      </c>
      <c r="I299" t="s">
        <v>383</v>
      </c>
      <c r="J299" t="s">
        <v>383</v>
      </c>
      <c r="K299" t="s">
        <v>383</v>
      </c>
    </row>
    <row r="300" spans="1:11">
      <c r="A300" t="s">
        <v>323</v>
      </c>
      <c r="B300" t="s">
        <v>324</v>
      </c>
      <c r="C300" t="s">
        <v>381</v>
      </c>
      <c r="D300">
        <v>5.16</v>
      </c>
      <c r="E300" s="3">
        <f t="shared" si="11"/>
        <v>0</v>
      </c>
      <c r="F300" t="s">
        <v>564</v>
      </c>
      <c r="G300">
        <f t="shared" si="13"/>
        <v>5.16</v>
      </c>
      <c r="H300" s="3">
        <f t="shared" si="12"/>
        <v>582215.2356</v>
      </c>
      <c r="I300" t="s">
        <v>383</v>
      </c>
      <c r="J300" t="s">
        <v>383</v>
      </c>
      <c r="K300" t="s">
        <v>383</v>
      </c>
    </row>
    <row r="301" spans="1:11">
      <c r="A301" t="s">
        <v>323</v>
      </c>
      <c r="B301" t="s">
        <v>325</v>
      </c>
      <c r="C301" t="s">
        <v>381</v>
      </c>
      <c r="D301">
        <v>5.16</v>
      </c>
      <c r="E301" s="3">
        <f t="shared" si="11"/>
        <v>0</v>
      </c>
      <c r="F301" t="s">
        <v>565</v>
      </c>
      <c r="G301">
        <f t="shared" si="13"/>
        <v>5.16</v>
      </c>
      <c r="H301" s="3">
        <f t="shared" si="12"/>
        <v>751601.1624</v>
      </c>
      <c r="I301" t="s">
        <v>383</v>
      </c>
      <c r="J301" t="s">
        <v>383</v>
      </c>
      <c r="K301" t="s">
        <v>383</v>
      </c>
    </row>
    <row r="302" spans="1:11">
      <c r="A302" t="s">
        <v>323</v>
      </c>
      <c r="B302" t="s">
        <v>326</v>
      </c>
      <c r="C302" t="s">
        <v>381</v>
      </c>
      <c r="D302">
        <v>5.16</v>
      </c>
      <c r="E302" s="3">
        <f t="shared" si="11"/>
        <v>0</v>
      </c>
      <c r="F302" t="s">
        <v>566</v>
      </c>
      <c r="G302">
        <f t="shared" si="13"/>
        <v>5.16</v>
      </c>
      <c r="H302" s="3">
        <f t="shared" si="12"/>
        <v>4280.5812</v>
      </c>
      <c r="I302" t="s">
        <v>383</v>
      </c>
      <c r="J302" t="s">
        <v>383</v>
      </c>
      <c r="K302" t="s">
        <v>383</v>
      </c>
    </row>
    <row r="303" spans="1:11">
      <c r="A303" t="s">
        <v>323</v>
      </c>
      <c r="B303" t="s">
        <v>327</v>
      </c>
      <c r="C303" t="s">
        <v>381</v>
      </c>
      <c r="D303">
        <v>5.16</v>
      </c>
      <c r="E303" s="3">
        <f t="shared" si="11"/>
        <v>0</v>
      </c>
      <c r="F303" t="s">
        <v>452</v>
      </c>
      <c r="G303">
        <f t="shared" si="13"/>
        <v>5.16</v>
      </c>
      <c r="H303" s="3">
        <f t="shared" si="12"/>
        <v>28596.8232</v>
      </c>
      <c r="I303" t="s">
        <v>383</v>
      </c>
      <c r="J303" t="s">
        <v>383</v>
      </c>
      <c r="K303" t="s">
        <v>383</v>
      </c>
    </row>
    <row r="304" spans="1:11">
      <c r="A304" t="s">
        <v>328</v>
      </c>
      <c r="B304" t="s">
        <v>329</v>
      </c>
      <c r="C304" t="s">
        <v>381</v>
      </c>
      <c r="D304">
        <v>5.16</v>
      </c>
      <c r="E304" s="3">
        <f t="shared" si="11"/>
        <v>0</v>
      </c>
      <c r="F304" t="s">
        <v>567</v>
      </c>
      <c r="G304">
        <f t="shared" si="13"/>
        <v>5.16</v>
      </c>
      <c r="H304" s="3">
        <f t="shared" si="12"/>
        <v>853858.8432</v>
      </c>
      <c r="I304" t="s">
        <v>383</v>
      </c>
      <c r="J304" t="s">
        <v>383</v>
      </c>
      <c r="K304" t="s">
        <v>383</v>
      </c>
    </row>
    <row r="305" spans="1:11">
      <c r="A305" t="s">
        <v>328</v>
      </c>
      <c r="B305" t="s">
        <v>330</v>
      </c>
      <c r="C305" t="s">
        <v>419</v>
      </c>
      <c r="D305">
        <v>5.16</v>
      </c>
      <c r="E305" s="3">
        <f t="shared" si="11"/>
        <v>309600</v>
      </c>
      <c r="F305" t="s">
        <v>381</v>
      </c>
      <c r="G305">
        <f t="shared" si="13"/>
        <v>5.16</v>
      </c>
      <c r="H305" s="3">
        <f t="shared" si="12"/>
        <v>0</v>
      </c>
      <c r="I305" t="s">
        <v>383</v>
      </c>
      <c r="J305" t="s">
        <v>383</v>
      </c>
      <c r="K305" t="s">
        <v>383</v>
      </c>
    </row>
    <row r="306" spans="1:11">
      <c r="A306" t="s">
        <v>331</v>
      </c>
      <c r="B306" t="s">
        <v>332</v>
      </c>
      <c r="C306" t="s">
        <v>381</v>
      </c>
      <c r="D306">
        <v>5.16</v>
      </c>
      <c r="E306" s="3">
        <f t="shared" si="11"/>
        <v>0</v>
      </c>
      <c r="F306" t="s">
        <v>568</v>
      </c>
      <c r="G306">
        <f t="shared" si="13"/>
        <v>5.16</v>
      </c>
      <c r="H306" s="3">
        <f t="shared" si="12"/>
        <v>744496.3068</v>
      </c>
      <c r="I306" t="s">
        <v>383</v>
      </c>
      <c r="J306" t="s">
        <v>383</v>
      </c>
      <c r="K306" t="s">
        <v>383</v>
      </c>
    </row>
    <row r="307" spans="1:11">
      <c r="A307" t="s">
        <v>331</v>
      </c>
      <c r="B307" t="s">
        <v>333</v>
      </c>
      <c r="C307" t="s">
        <v>381</v>
      </c>
      <c r="D307">
        <v>5.16</v>
      </c>
      <c r="E307" s="3">
        <f t="shared" si="11"/>
        <v>0</v>
      </c>
      <c r="F307" t="s">
        <v>569</v>
      </c>
      <c r="G307">
        <f t="shared" si="13"/>
        <v>5.16</v>
      </c>
      <c r="H307" s="3">
        <f t="shared" si="12"/>
        <v>21445.0632</v>
      </c>
      <c r="I307" t="s">
        <v>383</v>
      </c>
      <c r="J307" t="s">
        <v>383</v>
      </c>
      <c r="K307" t="s">
        <v>383</v>
      </c>
    </row>
    <row r="308" spans="1:11">
      <c r="A308" t="s">
        <v>331</v>
      </c>
      <c r="B308" t="s">
        <v>334</v>
      </c>
      <c r="C308" t="s">
        <v>570</v>
      </c>
      <c r="D308">
        <v>5.16</v>
      </c>
      <c r="E308" s="3">
        <f t="shared" si="11"/>
        <v>28173.6</v>
      </c>
      <c r="F308" t="s">
        <v>381</v>
      </c>
      <c r="G308">
        <f t="shared" si="13"/>
        <v>5.16</v>
      </c>
      <c r="H308" s="3">
        <f t="shared" si="12"/>
        <v>0</v>
      </c>
      <c r="I308" t="s">
        <v>383</v>
      </c>
      <c r="J308" t="s">
        <v>383</v>
      </c>
      <c r="K308" t="s">
        <v>383</v>
      </c>
    </row>
    <row r="309" spans="1:11">
      <c r="A309" t="s">
        <v>331</v>
      </c>
      <c r="B309" t="s">
        <v>335</v>
      </c>
      <c r="C309" t="s">
        <v>381</v>
      </c>
      <c r="D309">
        <v>5.16</v>
      </c>
      <c r="E309" s="3">
        <f t="shared" si="11"/>
        <v>0</v>
      </c>
      <c r="F309" t="s">
        <v>433</v>
      </c>
      <c r="G309">
        <f t="shared" si="13"/>
        <v>5.16</v>
      </c>
      <c r="H309" s="3">
        <f t="shared" si="12"/>
        <v>325.0284</v>
      </c>
      <c r="I309" t="s">
        <v>383</v>
      </c>
      <c r="J309" t="s">
        <v>383</v>
      </c>
      <c r="K309" t="s">
        <v>383</v>
      </c>
    </row>
    <row r="310" spans="1:11">
      <c r="A310" t="s">
        <v>331</v>
      </c>
      <c r="B310" t="s">
        <v>336</v>
      </c>
      <c r="C310" t="s">
        <v>571</v>
      </c>
      <c r="D310">
        <v>5.16</v>
      </c>
      <c r="E310" s="3">
        <f t="shared" si="11"/>
        <v>54180</v>
      </c>
      <c r="F310" t="s">
        <v>381</v>
      </c>
      <c r="G310">
        <f t="shared" si="13"/>
        <v>5.16</v>
      </c>
      <c r="H310" s="3">
        <f t="shared" si="12"/>
        <v>0</v>
      </c>
      <c r="I310" t="s">
        <v>383</v>
      </c>
      <c r="J310" t="s">
        <v>383</v>
      </c>
      <c r="K310" t="s">
        <v>383</v>
      </c>
    </row>
    <row r="311" spans="1:11">
      <c r="A311" t="s">
        <v>331</v>
      </c>
      <c r="B311" t="s">
        <v>337</v>
      </c>
      <c r="C311" t="s">
        <v>490</v>
      </c>
      <c r="D311">
        <v>5.16</v>
      </c>
      <c r="E311" s="3">
        <f t="shared" si="11"/>
        <v>72766.32</v>
      </c>
      <c r="F311" t="s">
        <v>381</v>
      </c>
      <c r="G311">
        <f t="shared" si="13"/>
        <v>5.16</v>
      </c>
      <c r="H311" s="3">
        <f t="shared" si="12"/>
        <v>0</v>
      </c>
      <c r="I311" t="s">
        <v>383</v>
      </c>
      <c r="J311" t="s">
        <v>383</v>
      </c>
      <c r="K311" t="s">
        <v>383</v>
      </c>
    </row>
    <row r="312" spans="1:11">
      <c r="A312" t="s">
        <v>338</v>
      </c>
      <c r="B312" t="s">
        <v>339</v>
      </c>
      <c r="C312" t="s">
        <v>381</v>
      </c>
      <c r="D312">
        <v>5.16</v>
      </c>
      <c r="E312" s="3">
        <f t="shared" si="11"/>
        <v>0</v>
      </c>
      <c r="F312" t="s">
        <v>572</v>
      </c>
      <c r="G312">
        <f t="shared" si="13"/>
        <v>5.16</v>
      </c>
      <c r="H312" s="3">
        <f t="shared" si="12"/>
        <v>1041955.0848</v>
      </c>
      <c r="I312" t="s">
        <v>383</v>
      </c>
      <c r="J312" t="s">
        <v>383</v>
      </c>
      <c r="K312" t="s">
        <v>383</v>
      </c>
    </row>
    <row r="313" spans="1:11">
      <c r="A313" t="s">
        <v>340</v>
      </c>
      <c r="B313" t="s">
        <v>341</v>
      </c>
      <c r="C313" t="s">
        <v>381</v>
      </c>
      <c r="D313">
        <v>5.16</v>
      </c>
      <c r="E313" s="3">
        <f t="shared" si="11"/>
        <v>0</v>
      </c>
      <c r="F313" t="s">
        <v>573</v>
      </c>
      <c r="G313">
        <f t="shared" si="13"/>
        <v>5.16</v>
      </c>
      <c r="H313" s="3">
        <f t="shared" si="12"/>
        <v>876292.5624</v>
      </c>
      <c r="I313" t="s">
        <v>383</v>
      </c>
      <c r="J313" t="s">
        <v>383</v>
      </c>
      <c r="K313" t="s">
        <v>383</v>
      </c>
    </row>
    <row r="314" spans="1:11">
      <c r="A314" t="s">
        <v>340</v>
      </c>
      <c r="B314" t="s">
        <v>342</v>
      </c>
      <c r="C314" t="s">
        <v>381</v>
      </c>
      <c r="D314">
        <v>5.16</v>
      </c>
      <c r="E314" s="3">
        <f t="shared" si="11"/>
        <v>0</v>
      </c>
      <c r="F314" t="s">
        <v>399</v>
      </c>
      <c r="G314">
        <f t="shared" si="13"/>
        <v>5.16</v>
      </c>
      <c r="H314" s="3">
        <f t="shared" si="12"/>
        <v>232.1484</v>
      </c>
      <c r="I314" t="s">
        <v>383</v>
      </c>
      <c r="J314" t="s">
        <v>383</v>
      </c>
      <c r="K314" t="s">
        <v>383</v>
      </c>
    </row>
    <row r="315" spans="1:11">
      <c r="A315" t="s">
        <v>343</v>
      </c>
      <c r="B315" t="s">
        <v>344</v>
      </c>
      <c r="C315" t="s">
        <v>381</v>
      </c>
      <c r="D315">
        <v>5.16</v>
      </c>
      <c r="E315" s="3">
        <f t="shared" si="11"/>
        <v>0</v>
      </c>
      <c r="F315" t="s">
        <v>574</v>
      </c>
      <c r="G315">
        <f t="shared" si="13"/>
        <v>5.16</v>
      </c>
      <c r="H315" s="3">
        <f t="shared" si="12"/>
        <v>675068.61</v>
      </c>
      <c r="I315" t="s">
        <v>383</v>
      </c>
      <c r="J315" t="s">
        <v>383</v>
      </c>
      <c r="K315" t="s">
        <v>383</v>
      </c>
    </row>
    <row r="316" spans="1:11">
      <c r="A316" t="s">
        <v>343</v>
      </c>
      <c r="B316" t="s">
        <v>345</v>
      </c>
      <c r="C316" t="s">
        <v>381</v>
      </c>
      <c r="D316">
        <v>5.16</v>
      </c>
      <c r="E316" s="3">
        <f t="shared" si="11"/>
        <v>0</v>
      </c>
      <c r="F316" t="s">
        <v>575</v>
      </c>
      <c r="G316">
        <f t="shared" si="13"/>
        <v>5.16</v>
      </c>
      <c r="H316" s="3">
        <f t="shared" si="12"/>
        <v>77204.0232</v>
      </c>
      <c r="I316" t="s">
        <v>383</v>
      </c>
      <c r="J316" t="s">
        <v>383</v>
      </c>
      <c r="K316" t="s">
        <v>383</v>
      </c>
    </row>
    <row r="317" spans="1:11">
      <c r="A317" t="s">
        <v>343</v>
      </c>
      <c r="B317" t="s">
        <v>346</v>
      </c>
      <c r="C317" t="s">
        <v>381</v>
      </c>
      <c r="D317">
        <v>5.16</v>
      </c>
      <c r="E317" s="3">
        <f t="shared" si="11"/>
        <v>0</v>
      </c>
      <c r="F317" t="s">
        <v>576</v>
      </c>
      <c r="G317">
        <f t="shared" si="13"/>
        <v>5.16</v>
      </c>
      <c r="H317" s="3">
        <f t="shared" si="12"/>
        <v>309910.0644</v>
      </c>
      <c r="I317" t="s">
        <v>383</v>
      </c>
      <c r="J317" t="s">
        <v>383</v>
      </c>
      <c r="K317" t="s">
        <v>383</v>
      </c>
    </row>
    <row r="318" spans="1:11">
      <c r="A318" t="s">
        <v>343</v>
      </c>
      <c r="B318" t="s">
        <v>347</v>
      </c>
      <c r="C318" t="s">
        <v>511</v>
      </c>
      <c r="D318">
        <v>5.16</v>
      </c>
      <c r="E318" s="3">
        <f t="shared" si="11"/>
        <v>25800</v>
      </c>
      <c r="F318" t="s">
        <v>381</v>
      </c>
      <c r="G318">
        <f t="shared" si="13"/>
        <v>5.16</v>
      </c>
      <c r="H318" s="3">
        <f t="shared" si="12"/>
        <v>0</v>
      </c>
      <c r="I318" t="s">
        <v>383</v>
      </c>
      <c r="J318" t="s">
        <v>383</v>
      </c>
      <c r="K318" t="s">
        <v>383</v>
      </c>
    </row>
    <row r="319" spans="1:11">
      <c r="A319" t="s">
        <v>343</v>
      </c>
      <c r="B319" t="s">
        <v>348</v>
      </c>
      <c r="C319" t="s">
        <v>511</v>
      </c>
      <c r="D319">
        <v>5.16</v>
      </c>
      <c r="E319" s="3">
        <f t="shared" si="11"/>
        <v>25800</v>
      </c>
      <c r="F319" t="s">
        <v>381</v>
      </c>
      <c r="G319">
        <f t="shared" si="13"/>
        <v>5.16</v>
      </c>
      <c r="H319" s="3">
        <f t="shared" si="12"/>
        <v>0</v>
      </c>
      <c r="I319" t="s">
        <v>383</v>
      </c>
      <c r="J319" t="s">
        <v>383</v>
      </c>
      <c r="K319" t="s">
        <v>383</v>
      </c>
    </row>
    <row r="320" spans="1:11">
      <c r="A320" t="s">
        <v>343</v>
      </c>
      <c r="B320" t="s">
        <v>349</v>
      </c>
      <c r="C320" t="s">
        <v>577</v>
      </c>
      <c r="D320">
        <v>5.16</v>
      </c>
      <c r="E320" s="3">
        <f t="shared" si="11"/>
        <v>41280</v>
      </c>
      <c r="F320" t="s">
        <v>381</v>
      </c>
      <c r="G320">
        <f t="shared" si="13"/>
        <v>5.16</v>
      </c>
      <c r="H320" s="3">
        <f t="shared" si="12"/>
        <v>0</v>
      </c>
      <c r="I320" t="s">
        <v>383</v>
      </c>
      <c r="J320" t="s">
        <v>383</v>
      </c>
      <c r="K320" t="s">
        <v>383</v>
      </c>
    </row>
    <row r="321" spans="1:11">
      <c r="A321" t="s">
        <v>343</v>
      </c>
      <c r="B321" t="s">
        <v>350</v>
      </c>
      <c r="C321" t="s">
        <v>578</v>
      </c>
      <c r="D321">
        <v>5.16</v>
      </c>
      <c r="E321" s="3">
        <f t="shared" si="11"/>
        <v>2064727.56</v>
      </c>
      <c r="F321" t="s">
        <v>381</v>
      </c>
      <c r="G321">
        <f t="shared" si="13"/>
        <v>5.16</v>
      </c>
      <c r="H321" s="3">
        <f t="shared" si="12"/>
        <v>0</v>
      </c>
      <c r="I321" t="s">
        <v>383</v>
      </c>
      <c r="J321" t="s">
        <v>383</v>
      </c>
      <c r="K321" t="s">
        <v>383</v>
      </c>
    </row>
    <row r="322" spans="1:11">
      <c r="A322" t="s">
        <v>351</v>
      </c>
      <c r="B322" t="s">
        <v>352</v>
      </c>
      <c r="C322" t="s">
        <v>381</v>
      </c>
      <c r="D322">
        <v>5.16</v>
      </c>
      <c r="E322" s="3">
        <f t="shared" ref="E322:E342" si="14">C322*D322</f>
        <v>0</v>
      </c>
      <c r="F322" t="s">
        <v>579</v>
      </c>
      <c r="G322">
        <f t="shared" si="13"/>
        <v>5.16</v>
      </c>
      <c r="H322" s="3">
        <f t="shared" ref="H322:H342" si="15">F322*G322</f>
        <v>774204.5424</v>
      </c>
      <c r="I322" t="s">
        <v>383</v>
      </c>
      <c r="J322" t="s">
        <v>383</v>
      </c>
      <c r="K322" t="s">
        <v>383</v>
      </c>
    </row>
    <row r="323" spans="1:11">
      <c r="A323" t="s">
        <v>351</v>
      </c>
      <c r="B323" t="s">
        <v>353</v>
      </c>
      <c r="C323" t="s">
        <v>464</v>
      </c>
      <c r="D323">
        <v>5.16</v>
      </c>
      <c r="E323" s="3">
        <f t="shared" si="14"/>
        <v>258000</v>
      </c>
      <c r="F323" t="s">
        <v>381</v>
      </c>
      <c r="G323">
        <f t="shared" ref="G323:G342" si="16">G322</f>
        <v>5.16</v>
      </c>
      <c r="H323" s="3">
        <f t="shared" si="15"/>
        <v>0</v>
      </c>
      <c r="I323" t="s">
        <v>383</v>
      </c>
      <c r="J323" t="s">
        <v>383</v>
      </c>
      <c r="K323" t="s">
        <v>383</v>
      </c>
    </row>
    <row r="324" spans="1:11">
      <c r="A324" t="s">
        <v>351</v>
      </c>
      <c r="B324" t="s">
        <v>354</v>
      </c>
      <c r="C324" t="s">
        <v>381</v>
      </c>
      <c r="D324">
        <v>5.16</v>
      </c>
      <c r="E324" s="3">
        <f t="shared" si="14"/>
        <v>0</v>
      </c>
      <c r="F324" t="s">
        <v>498</v>
      </c>
      <c r="G324">
        <f t="shared" si="16"/>
        <v>5.16</v>
      </c>
      <c r="H324" s="3">
        <f t="shared" si="15"/>
        <v>10722.5316</v>
      </c>
      <c r="I324" t="s">
        <v>383</v>
      </c>
      <c r="J324" t="s">
        <v>383</v>
      </c>
      <c r="K324" t="s">
        <v>383</v>
      </c>
    </row>
    <row r="325" spans="1:11">
      <c r="A325" t="s">
        <v>355</v>
      </c>
      <c r="B325" t="s">
        <v>356</v>
      </c>
      <c r="C325" t="s">
        <v>381</v>
      </c>
      <c r="D325">
        <v>5.16</v>
      </c>
      <c r="E325" s="3">
        <f t="shared" si="14"/>
        <v>0</v>
      </c>
      <c r="F325" t="s">
        <v>580</v>
      </c>
      <c r="G325">
        <f t="shared" si="16"/>
        <v>5.16</v>
      </c>
      <c r="H325" s="3">
        <f t="shared" si="15"/>
        <v>837055.0968</v>
      </c>
      <c r="I325" t="s">
        <v>383</v>
      </c>
      <c r="J325" t="s">
        <v>383</v>
      </c>
      <c r="K325" t="s">
        <v>383</v>
      </c>
    </row>
    <row r="326" spans="1:11">
      <c r="A326" t="s">
        <v>355</v>
      </c>
      <c r="B326" t="s">
        <v>357</v>
      </c>
      <c r="C326" t="s">
        <v>581</v>
      </c>
      <c r="D326">
        <v>5.16</v>
      </c>
      <c r="E326" s="3">
        <f t="shared" si="14"/>
        <v>1548</v>
      </c>
      <c r="F326" t="s">
        <v>381</v>
      </c>
      <c r="G326">
        <f t="shared" si="16"/>
        <v>5.16</v>
      </c>
      <c r="H326" s="3">
        <f t="shared" si="15"/>
        <v>0</v>
      </c>
      <c r="I326" t="s">
        <v>383</v>
      </c>
      <c r="J326" t="s">
        <v>383</v>
      </c>
      <c r="K326" t="s">
        <v>383</v>
      </c>
    </row>
    <row r="327" spans="1:11">
      <c r="A327" t="s">
        <v>355</v>
      </c>
      <c r="B327" t="s">
        <v>358</v>
      </c>
      <c r="C327" t="s">
        <v>582</v>
      </c>
      <c r="D327">
        <v>5.16</v>
      </c>
      <c r="E327" s="3">
        <f t="shared" si="14"/>
        <v>232.2</v>
      </c>
      <c r="F327" t="s">
        <v>381</v>
      </c>
      <c r="G327">
        <f t="shared" si="16"/>
        <v>5.16</v>
      </c>
      <c r="H327" s="3">
        <f t="shared" si="15"/>
        <v>0</v>
      </c>
      <c r="I327" t="s">
        <v>383</v>
      </c>
      <c r="J327" t="s">
        <v>383</v>
      </c>
      <c r="K327" t="s">
        <v>383</v>
      </c>
    </row>
    <row r="328" spans="1:11">
      <c r="A328" t="s">
        <v>359</v>
      </c>
      <c r="B328" t="s">
        <v>360</v>
      </c>
      <c r="C328" t="s">
        <v>381</v>
      </c>
      <c r="D328">
        <v>5.16</v>
      </c>
      <c r="E328" s="3">
        <f t="shared" si="14"/>
        <v>0</v>
      </c>
      <c r="F328" t="s">
        <v>583</v>
      </c>
      <c r="G328">
        <f t="shared" si="16"/>
        <v>5.16</v>
      </c>
      <c r="H328" s="3">
        <f t="shared" si="15"/>
        <v>650194.6752</v>
      </c>
      <c r="I328" t="s">
        <v>383</v>
      </c>
      <c r="J328" t="s">
        <v>383</v>
      </c>
      <c r="K328" t="s">
        <v>383</v>
      </c>
    </row>
    <row r="329" spans="1:11">
      <c r="A329" t="s">
        <v>359</v>
      </c>
      <c r="B329" t="s">
        <v>361</v>
      </c>
      <c r="C329" t="s">
        <v>381</v>
      </c>
      <c r="D329">
        <v>5.16</v>
      </c>
      <c r="E329" s="3">
        <f t="shared" si="14"/>
        <v>0</v>
      </c>
      <c r="F329" t="s">
        <v>569</v>
      </c>
      <c r="G329">
        <f t="shared" si="16"/>
        <v>5.16</v>
      </c>
      <c r="H329" s="3">
        <f t="shared" si="15"/>
        <v>21445.0632</v>
      </c>
      <c r="I329" t="s">
        <v>383</v>
      </c>
      <c r="J329" t="s">
        <v>383</v>
      </c>
      <c r="K329" t="s">
        <v>383</v>
      </c>
    </row>
    <row r="330" spans="1:11">
      <c r="A330" t="s">
        <v>359</v>
      </c>
      <c r="B330" t="s">
        <v>362</v>
      </c>
      <c r="C330" t="s">
        <v>381</v>
      </c>
      <c r="D330">
        <v>5.16</v>
      </c>
      <c r="E330" s="3">
        <f t="shared" si="14"/>
        <v>0</v>
      </c>
      <c r="F330" t="s">
        <v>548</v>
      </c>
      <c r="G330">
        <f t="shared" si="16"/>
        <v>5.16</v>
      </c>
      <c r="H330" s="3">
        <f t="shared" si="15"/>
        <v>464.2968</v>
      </c>
      <c r="I330" t="s">
        <v>383</v>
      </c>
      <c r="J330" t="s">
        <v>383</v>
      </c>
      <c r="K330" t="s">
        <v>383</v>
      </c>
    </row>
    <row r="331" spans="1:11">
      <c r="A331" t="s">
        <v>363</v>
      </c>
      <c r="B331" t="s">
        <v>364</v>
      </c>
      <c r="C331" t="s">
        <v>381</v>
      </c>
      <c r="D331">
        <v>5.16</v>
      </c>
      <c r="E331" s="3">
        <f t="shared" si="14"/>
        <v>0</v>
      </c>
      <c r="F331" t="s">
        <v>584</v>
      </c>
      <c r="G331">
        <f t="shared" si="16"/>
        <v>5.16</v>
      </c>
      <c r="H331" s="3">
        <f t="shared" si="15"/>
        <v>530112.8064</v>
      </c>
      <c r="I331" t="s">
        <v>383</v>
      </c>
      <c r="J331" t="s">
        <v>383</v>
      </c>
      <c r="K331" t="s">
        <v>383</v>
      </c>
    </row>
    <row r="332" spans="1:11">
      <c r="A332" t="s">
        <v>363</v>
      </c>
      <c r="B332" t="s">
        <v>365</v>
      </c>
      <c r="C332" t="s">
        <v>585</v>
      </c>
      <c r="D332">
        <v>5.16</v>
      </c>
      <c r="E332" s="3">
        <f t="shared" si="14"/>
        <v>2270400</v>
      </c>
      <c r="F332" t="s">
        <v>381</v>
      </c>
      <c r="G332">
        <f t="shared" si="16"/>
        <v>5.16</v>
      </c>
      <c r="H332" s="3">
        <f t="shared" si="15"/>
        <v>0</v>
      </c>
      <c r="I332" t="s">
        <v>383</v>
      </c>
      <c r="J332" t="s">
        <v>383</v>
      </c>
      <c r="K332" t="s">
        <v>383</v>
      </c>
    </row>
    <row r="333" spans="1:11">
      <c r="A333" t="s">
        <v>366</v>
      </c>
      <c r="B333" t="s">
        <v>367</v>
      </c>
      <c r="C333" t="s">
        <v>381</v>
      </c>
      <c r="D333">
        <v>5.16</v>
      </c>
      <c r="E333" s="3">
        <f t="shared" si="14"/>
        <v>0</v>
      </c>
      <c r="F333" t="s">
        <v>586</v>
      </c>
      <c r="G333">
        <f t="shared" si="16"/>
        <v>5.16</v>
      </c>
      <c r="H333" s="3">
        <f t="shared" si="15"/>
        <v>1147933.2804</v>
      </c>
      <c r="I333" t="s">
        <v>383</v>
      </c>
      <c r="J333" t="s">
        <v>383</v>
      </c>
      <c r="K333" t="s">
        <v>383</v>
      </c>
    </row>
    <row r="334" spans="1:11">
      <c r="A334" t="s">
        <v>366</v>
      </c>
      <c r="B334" t="s">
        <v>368</v>
      </c>
      <c r="C334" t="s">
        <v>381</v>
      </c>
      <c r="D334">
        <v>5.16</v>
      </c>
      <c r="E334" s="3">
        <f t="shared" si="14"/>
        <v>0</v>
      </c>
      <c r="F334" t="s">
        <v>587</v>
      </c>
      <c r="G334">
        <f t="shared" si="16"/>
        <v>5.16</v>
      </c>
      <c r="H334" s="3">
        <f t="shared" si="15"/>
        <v>551561.3268</v>
      </c>
      <c r="I334" t="s">
        <v>383</v>
      </c>
      <c r="J334" t="s">
        <v>383</v>
      </c>
      <c r="K334" t="s">
        <v>383</v>
      </c>
    </row>
    <row r="335" spans="1:11">
      <c r="A335" t="s">
        <v>366</v>
      </c>
      <c r="B335" t="s">
        <v>369</v>
      </c>
      <c r="C335" t="s">
        <v>588</v>
      </c>
      <c r="D335">
        <v>5.16</v>
      </c>
      <c r="E335" s="3">
        <f t="shared" si="14"/>
        <v>21424.32</v>
      </c>
      <c r="F335" t="s">
        <v>381</v>
      </c>
      <c r="G335">
        <f t="shared" si="16"/>
        <v>5.16</v>
      </c>
      <c r="H335" s="3">
        <f t="shared" si="15"/>
        <v>0</v>
      </c>
      <c r="I335" t="s">
        <v>383</v>
      </c>
      <c r="J335" t="s">
        <v>383</v>
      </c>
      <c r="K335" t="s">
        <v>383</v>
      </c>
    </row>
    <row r="336" spans="1:11">
      <c r="A336" t="s">
        <v>366</v>
      </c>
      <c r="B336" t="s">
        <v>370</v>
      </c>
      <c r="C336" t="s">
        <v>589</v>
      </c>
      <c r="D336">
        <v>5.16</v>
      </c>
      <c r="E336" s="3">
        <f t="shared" si="14"/>
        <v>367381.68</v>
      </c>
      <c r="F336" t="s">
        <v>381</v>
      </c>
      <c r="G336">
        <f t="shared" si="16"/>
        <v>5.16</v>
      </c>
      <c r="H336" s="3">
        <f t="shared" si="15"/>
        <v>0</v>
      </c>
      <c r="I336" t="s">
        <v>383</v>
      </c>
      <c r="J336" t="s">
        <v>383</v>
      </c>
      <c r="K336" t="s">
        <v>383</v>
      </c>
    </row>
    <row r="337" spans="1:11">
      <c r="A337" t="s">
        <v>366</v>
      </c>
      <c r="B337" t="s">
        <v>370</v>
      </c>
      <c r="C337" t="s">
        <v>402</v>
      </c>
      <c r="D337">
        <v>5.16</v>
      </c>
      <c r="E337" s="3">
        <f t="shared" si="14"/>
        <v>44.892</v>
      </c>
      <c r="F337" t="s">
        <v>381</v>
      </c>
      <c r="G337">
        <f t="shared" si="16"/>
        <v>5.16</v>
      </c>
      <c r="H337" s="3">
        <f t="shared" si="15"/>
        <v>0</v>
      </c>
      <c r="I337" t="s">
        <v>383</v>
      </c>
      <c r="J337" t="s">
        <v>383</v>
      </c>
      <c r="K337" t="s">
        <v>383</v>
      </c>
    </row>
    <row r="338" spans="1:11">
      <c r="A338" t="s">
        <v>366</v>
      </c>
      <c r="B338" t="s">
        <v>370</v>
      </c>
      <c r="C338" t="s">
        <v>403</v>
      </c>
      <c r="D338">
        <v>5.16</v>
      </c>
      <c r="E338" s="3">
        <f t="shared" si="14"/>
        <v>6.708</v>
      </c>
      <c r="F338" t="s">
        <v>381</v>
      </c>
      <c r="G338">
        <f t="shared" si="16"/>
        <v>5.16</v>
      </c>
      <c r="H338" s="3">
        <f t="shared" si="15"/>
        <v>0</v>
      </c>
      <c r="I338" t="s">
        <v>383</v>
      </c>
      <c r="J338" t="s">
        <v>383</v>
      </c>
      <c r="K338" t="s">
        <v>383</v>
      </c>
    </row>
    <row r="339" spans="1:11">
      <c r="A339" t="s">
        <v>371</v>
      </c>
      <c r="B339" t="s">
        <v>372</v>
      </c>
      <c r="C339" t="s">
        <v>381</v>
      </c>
      <c r="D339">
        <v>5.16</v>
      </c>
      <c r="E339" s="3">
        <f t="shared" si="14"/>
        <v>0</v>
      </c>
      <c r="F339" t="s">
        <v>590</v>
      </c>
      <c r="G339">
        <f t="shared" si="16"/>
        <v>5.16</v>
      </c>
      <c r="H339" s="3">
        <f t="shared" si="15"/>
        <v>842895.3396</v>
      </c>
      <c r="I339" t="s">
        <v>383</v>
      </c>
      <c r="J339" t="s">
        <v>383</v>
      </c>
      <c r="K339" t="s">
        <v>383</v>
      </c>
    </row>
    <row r="340" spans="1:11">
      <c r="A340" t="s">
        <v>371</v>
      </c>
      <c r="B340" t="s">
        <v>373</v>
      </c>
      <c r="C340" t="s">
        <v>381</v>
      </c>
      <c r="D340">
        <v>5.16</v>
      </c>
      <c r="E340" s="3">
        <f t="shared" si="14"/>
        <v>0</v>
      </c>
      <c r="F340" t="s">
        <v>591</v>
      </c>
      <c r="G340">
        <f t="shared" si="16"/>
        <v>5.16</v>
      </c>
      <c r="H340" s="3">
        <f t="shared" si="15"/>
        <v>87928.4124</v>
      </c>
      <c r="I340" t="s">
        <v>383</v>
      </c>
      <c r="J340" t="s">
        <v>383</v>
      </c>
      <c r="K340" t="s">
        <v>383</v>
      </c>
    </row>
    <row r="341" spans="1:11">
      <c r="A341" t="s">
        <v>371</v>
      </c>
      <c r="B341" t="s">
        <v>374</v>
      </c>
      <c r="C341" t="s">
        <v>395</v>
      </c>
      <c r="D341">
        <v>5.16</v>
      </c>
      <c r="E341" s="3">
        <f t="shared" si="14"/>
        <v>129000</v>
      </c>
      <c r="F341" t="s">
        <v>381</v>
      </c>
      <c r="G341">
        <f t="shared" si="16"/>
        <v>5.16</v>
      </c>
      <c r="H341" s="3">
        <f t="shared" si="15"/>
        <v>0</v>
      </c>
      <c r="I341" t="s">
        <v>383</v>
      </c>
      <c r="J341" t="s">
        <v>383</v>
      </c>
      <c r="K341" t="s">
        <v>383</v>
      </c>
    </row>
    <row r="342" spans="1:11">
      <c r="A342" t="s">
        <v>375</v>
      </c>
      <c r="B342" t="s">
        <v>376</v>
      </c>
      <c r="C342" t="s">
        <v>381</v>
      </c>
      <c r="D342">
        <v>5.16</v>
      </c>
      <c r="E342" s="3">
        <f t="shared" si="14"/>
        <v>0</v>
      </c>
      <c r="F342" t="s">
        <v>592</v>
      </c>
      <c r="G342">
        <f t="shared" si="16"/>
        <v>5.16</v>
      </c>
      <c r="H342" s="3">
        <f t="shared" si="15"/>
        <v>536364.6108</v>
      </c>
      <c r="I342" t="s">
        <v>383</v>
      </c>
      <c r="J342" t="s">
        <v>383</v>
      </c>
      <c r="K342" t="s">
        <v>383</v>
      </c>
    </row>
    <row r="343" spans="5:8">
      <c r="E343" s="6">
        <f>SUM(E258:E342)</f>
        <v>12842404.08</v>
      </c>
      <c r="H343" s="6">
        <f>SUM(H258:H342)</f>
        <v>22196608.17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Values Only</vt:lpstr>
      <vt:lpstr>April</vt:lpstr>
      <vt:lpstr>May</vt:lpstr>
      <vt:lpstr>June</vt:lpstr>
      <vt:lpstr>Raw Calculations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shawon</dc:creator>
  <cp:lastModifiedBy>Shawon Shahriar</cp:lastModifiedBy>
  <dcterms:created xsi:type="dcterms:W3CDTF">2026-07-03T11:40:05Z</dcterms:created>
  <dcterms:modified xsi:type="dcterms:W3CDTF">2026-07-03T12:13:59Z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4028DC626963C2BB354B476A6A969CC8_41</vt:lpwstr>
  </property>
  <property fmtid="{D5CDD505-2E9C-101B-9397-08002B2CF9AE}" pid="3" name="KSOProductBuildVer">
    <vt:lpwstr>1033-6.14.0.8718</vt:lpwstr>
  </property>
</Properties>
</file>